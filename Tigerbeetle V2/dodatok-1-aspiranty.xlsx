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PI_PFV\Documents\Вартість навчання 20262027\"/>
    </mc:Choice>
  </mc:AlternateContent>
  <xr:revisionPtr revIDLastSave="0" documentId="8_{DCBEF32C-0734-4C8C-B9B1-B4B0A0F737EF}" xr6:coauthVersionLast="47" xr6:coauthVersionMax="47" xr10:uidLastSave="{00000000-0000-0000-0000-000000000000}"/>
  <bookViews>
    <workbookView xWindow="-120" yWindow="-120" windowWidth="29040" windowHeight="15720" xr2:uid="{F0D12EA4-52CE-495D-A1EC-BF6ECF58A034}"/>
  </bookViews>
  <sheets>
    <sheet name="Вартість підготовки аспірантів" sheetId="1" r:id="rId1"/>
  </sheets>
  <definedNames>
    <definedName name="_xlnm.Print_Area" localSheetId="0">'Вартість підготовки аспірантів'!$A$1:$J$53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2" i="1" l="1"/>
  <c r="H52" i="1"/>
  <c r="J52" i="1" s="1"/>
  <c r="F52" i="1"/>
  <c r="E52" i="1"/>
  <c r="D52" i="1"/>
  <c r="J51" i="1"/>
  <c r="I51" i="1"/>
  <c r="H51" i="1"/>
  <c r="F51" i="1"/>
  <c r="E51" i="1"/>
  <c r="D51" i="1"/>
  <c r="I50" i="1"/>
  <c r="H50" i="1"/>
  <c r="J50" i="1" s="1"/>
  <c r="F50" i="1"/>
  <c r="E50" i="1"/>
  <c r="D50" i="1"/>
  <c r="H49" i="1"/>
  <c r="J49" i="1" s="1"/>
  <c r="E49" i="1"/>
  <c r="I49" i="1" s="1"/>
  <c r="D49" i="1"/>
  <c r="I48" i="1"/>
  <c r="H48" i="1"/>
  <c r="J48" i="1" s="1"/>
  <c r="F48" i="1"/>
  <c r="E48" i="1"/>
  <c r="D48" i="1"/>
  <c r="H47" i="1"/>
  <c r="J47" i="1" s="1"/>
  <c r="E47" i="1"/>
  <c r="I47" i="1" s="1"/>
  <c r="D47" i="1"/>
  <c r="I46" i="1"/>
  <c r="H46" i="1"/>
  <c r="J46" i="1" s="1"/>
  <c r="F46" i="1"/>
  <c r="E46" i="1"/>
  <c r="D46" i="1"/>
  <c r="H45" i="1"/>
  <c r="J45" i="1" s="1"/>
  <c r="E45" i="1"/>
  <c r="F45" i="1" s="1"/>
  <c r="D45" i="1"/>
  <c r="I44" i="1"/>
  <c r="H44" i="1"/>
  <c r="J44" i="1" s="1"/>
  <c r="F44" i="1"/>
  <c r="E44" i="1"/>
  <c r="D44" i="1"/>
  <c r="H43" i="1"/>
  <c r="J43" i="1" s="1"/>
  <c r="E43" i="1"/>
  <c r="I43" i="1" s="1"/>
  <c r="D43" i="1"/>
  <c r="I42" i="1"/>
  <c r="H42" i="1"/>
  <c r="J42" i="1" s="1"/>
  <c r="F42" i="1"/>
  <c r="E42" i="1"/>
  <c r="D42" i="1"/>
  <c r="H41" i="1"/>
  <c r="J41" i="1" s="1"/>
  <c r="E41" i="1"/>
  <c r="I41" i="1" s="1"/>
  <c r="D41" i="1"/>
  <c r="I40" i="1"/>
  <c r="H40" i="1"/>
  <c r="J40" i="1" s="1"/>
  <c r="F40" i="1"/>
  <c r="E40" i="1"/>
  <c r="D40" i="1"/>
  <c r="H39" i="1"/>
  <c r="J39" i="1" s="1"/>
  <c r="E39" i="1"/>
  <c r="I39" i="1" s="1"/>
  <c r="D39" i="1"/>
  <c r="I38" i="1"/>
  <c r="H38" i="1"/>
  <c r="J38" i="1" s="1"/>
  <c r="F38" i="1"/>
  <c r="E38" i="1"/>
  <c r="D38" i="1"/>
  <c r="H37" i="1"/>
  <c r="J37" i="1" s="1"/>
  <c r="E37" i="1"/>
  <c r="F37" i="1" s="1"/>
  <c r="D37" i="1"/>
  <c r="I36" i="1"/>
  <c r="H36" i="1"/>
  <c r="J36" i="1" s="1"/>
  <c r="F36" i="1"/>
  <c r="E36" i="1"/>
  <c r="D36" i="1"/>
  <c r="H35" i="1"/>
  <c r="J35" i="1" s="1"/>
  <c r="E35" i="1"/>
  <c r="I35" i="1" s="1"/>
  <c r="D35" i="1"/>
  <c r="I34" i="1"/>
  <c r="H34" i="1"/>
  <c r="J34" i="1" s="1"/>
  <c r="F34" i="1"/>
  <c r="E34" i="1"/>
  <c r="D34" i="1"/>
  <c r="H33" i="1"/>
  <c r="J33" i="1" s="1"/>
  <c r="E33" i="1"/>
  <c r="I33" i="1" s="1"/>
  <c r="D33" i="1"/>
  <c r="I32" i="1"/>
  <c r="H32" i="1"/>
  <c r="J32" i="1" s="1"/>
  <c r="F32" i="1"/>
  <c r="E32" i="1"/>
  <c r="D32" i="1"/>
  <c r="H31" i="1"/>
  <c r="J31" i="1" s="1"/>
  <c r="E31" i="1"/>
  <c r="I31" i="1" s="1"/>
  <c r="D31" i="1"/>
  <c r="I30" i="1"/>
  <c r="H30" i="1"/>
  <c r="J30" i="1" s="1"/>
  <c r="F30" i="1"/>
  <c r="E30" i="1"/>
  <c r="D30" i="1"/>
  <c r="H29" i="1"/>
  <c r="J29" i="1" s="1"/>
  <c r="E29" i="1"/>
  <c r="I29" i="1" s="1"/>
  <c r="D29" i="1"/>
  <c r="I28" i="1"/>
  <c r="H28" i="1"/>
  <c r="J28" i="1" s="1"/>
  <c r="F28" i="1"/>
  <c r="E28" i="1"/>
  <c r="D28" i="1"/>
  <c r="H27" i="1"/>
  <c r="J27" i="1" s="1"/>
  <c r="E27" i="1"/>
  <c r="I27" i="1" s="1"/>
  <c r="D27" i="1"/>
  <c r="I26" i="1"/>
  <c r="H26" i="1"/>
  <c r="J26" i="1" s="1"/>
  <c r="F26" i="1"/>
  <c r="E26" i="1"/>
  <c r="D26" i="1"/>
  <c r="H25" i="1"/>
  <c r="J25" i="1" s="1"/>
  <c r="E25" i="1"/>
  <c r="I25" i="1" s="1"/>
  <c r="D25" i="1"/>
  <c r="I24" i="1"/>
  <c r="H24" i="1"/>
  <c r="J24" i="1" s="1"/>
  <c r="F24" i="1"/>
  <c r="E24" i="1"/>
  <c r="D24" i="1"/>
  <c r="H23" i="1"/>
  <c r="J23" i="1" s="1"/>
  <c r="E23" i="1"/>
  <c r="I23" i="1" s="1"/>
  <c r="D23" i="1"/>
  <c r="I22" i="1"/>
  <c r="H22" i="1"/>
  <c r="J22" i="1" s="1"/>
  <c r="F22" i="1"/>
  <c r="E22" i="1"/>
  <c r="D22" i="1"/>
  <c r="H21" i="1"/>
  <c r="J21" i="1" s="1"/>
  <c r="E21" i="1"/>
  <c r="I21" i="1" s="1"/>
  <c r="D21" i="1"/>
  <c r="I20" i="1"/>
  <c r="H20" i="1"/>
  <c r="J20" i="1" s="1"/>
  <c r="F20" i="1"/>
  <c r="E20" i="1"/>
  <c r="D20" i="1"/>
  <c r="H19" i="1"/>
  <c r="J19" i="1" s="1"/>
  <c r="E19" i="1"/>
  <c r="I19" i="1" s="1"/>
  <c r="D19" i="1"/>
  <c r="I18" i="1"/>
  <c r="H18" i="1"/>
  <c r="J18" i="1" s="1"/>
  <c r="F18" i="1"/>
  <c r="E18" i="1"/>
  <c r="D18" i="1"/>
  <c r="H17" i="1"/>
  <c r="J17" i="1" s="1"/>
  <c r="E17" i="1"/>
  <c r="I17" i="1" s="1"/>
  <c r="D17" i="1"/>
  <c r="I16" i="1"/>
  <c r="H16" i="1"/>
  <c r="J16" i="1" s="1"/>
  <c r="F16" i="1"/>
  <c r="E16" i="1"/>
  <c r="D16" i="1"/>
  <c r="H15" i="1"/>
  <c r="J15" i="1" s="1"/>
  <c r="E15" i="1"/>
  <c r="I15" i="1" s="1"/>
  <c r="D15" i="1"/>
  <c r="I14" i="1"/>
  <c r="H14" i="1"/>
  <c r="J14" i="1" s="1"/>
  <c r="F14" i="1"/>
  <c r="E14" i="1"/>
  <c r="D14" i="1"/>
  <c r="H13" i="1"/>
  <c r="J13" i="1" s="1"/>
  <c r="E13" i="1"/>
  <c r="I13" i="1" s="1"/>
  <c r="D13" i="1"/>
  <c r="I12" i="1"/>
  <c r="H12" i="1"/>
  <c r="J12" i="1" s="1"/>
  <c r="F12" i="1"/>
  <c r="E12" i="1"/>
  <c r="D12" i="1"/>
  <c r="H11" i="1"/>
  <c r="J11" i="1" s="1"/>
  <c r="E11" i="1"/>
  <c r="I11" i="1" s="1"/>
  <c r="F13" i="1" l="1"/>
  <c r="F17" i="1"/>
  <c r="F21" i="1"/>
  <c r="F25" i="1"/>
  <c r="F29" i="1"/>
  <c r="F33" i="1"/>
  <c r="F35" i="1"/>
  <c r="F39" i="1"/>
  <c r="F41" i="1"/>
  <c r="F43" i="1"/>
  <c r="F47" i="1"/>
  <c r="I37" i="1"/>
  <c r="I45" i="1"/>
  <c r="F11" i="1"/>
  <c r="F15" i="1"/>
  <c r="F19" i="1"/>
  <c r="F23" i="1"/>
  <c r="F27" i="1"/>
  <c r="F31" i="1"/>
  <c r="F49" i="1"/>
</calcChain>
</file>

<file path=xl/sharedStrings.xml><?xml version="1.0" encoding="utf-8"?>
<sst xmlns="http://schemas.openxmlformats.org/spreadsheetml/2006/main" count="71" uniqueCount="68">
  <si>
    <t>Додаток 1</t>
  </si>
  <si>
    <t xml:space="preserve">до наказу "Про встановлення вартості навчання для  здобуття ступеня доктора філософії та доктора наук на 2026/2027 навчальний рік " </t>
  </si>
  <si>
    <t>Вартість навчання у 2026/2027 навчальному році</t>
  </si>
  <si>
    <t xml:space="preserve">Національний технічний університет України «Київський політехнічний інститут імені Ігоря Сікорського» </t>
  </si>
  <si>
    <t>(назва закладу вищої освіти)</t>
  </si>
  <si>
    <t>Здобувачів вищої освіти третього (освітньо - наукового) рівня ступеня доктора філософії - громадян України</t>
  </si>
  <si>
    <t>Галузь знань</t>
  </si>
  <si>
    <t>Код та назва спеціальності</t>
  </si>
  <si>
    <t>Вартість навчання, грн</t>
  </si>
  <si>
    <t>1,2 курс</t>
  </si>
  <si>
    <t xml:space="preserve">3 курс </t>
  </si>
  <si>
    <t xml:space="preserve"> 4 курс </t>
  </si>
  <si>
    <t>Загальна вартість навчання за весь період (4 роки)</t>
  </si>
  <si>
    <t>Очна (денна, вечірня)  та дистанційна форми, навчання одного року</t>
  </si>
  <si>
    <t>Заочна форма, навчання одного року</t>
  </si>
  <si>
    <t>Очна (денна, вечірня) та дистанційна форми, навчання одного року</t>
  </si>
  <si>
    <t>Очна (денна, вечірня)  та дистанційна форми</t>
  </si>
  <si>
    <t>Заочна форма</t>
  </si>
  <si>
    <t>A Освіта</t>
  </si>
  <si>
    <t>A1 Освітні науки</t>
  </si>
  <si>
    <t xml:space="preserve">В Культура, мистецтво та гуманітарні науки </t>
  </si>
  <si>
    <t>B9 Історія та археологія</t>
  </si>
  <si>
    <t>B10 Філософія</t>
  </si>
  <si>
    <t xml:space="preserve">B11 Філологія </t>
  </si>
  <si>
    <t>С Соціальні науки, журналістика, інформатизація та міжнародні відносини</t>
  </si>
  <si>
    <t>C1 Економіка та міжнародні економічні відносини</t>
  </si>
  <si>
    <t>C4 Психологія</t>
  </si>
  <si>
    <t>C5 Соціологія</t>
  </si>
  <si>
    <t>C7 Журналістика</t>
  </si>
  <si>
    <t>D Бізнес, адміністрування та право</t>
  </si>
  <si>
    <t>D3 Менеджмент</t>
  </si>
  <si>
    <t>D4 Публічне управління та адміністрування</t>
  </si>
  <si>
    <t>D5 Маркетинг</t>
  </si>
  <si>
    <t>D8 Право</t>
  </si>
  <si>
    <t>Е Природничі науки, математика та статистика</t>
  </si>
  <si>
    <t>E1 Біологія та біохімія</t>
  </si>
  <si>
    <t>E2 Екологія</t>
  </si>
  <si>
    <t>E5 Фізика та астрономія</t>
  </si>
  <si>
    <t>Е6 Прикладна фізика та наноматеріали</t>
  </si>
  <si>
    <t>E7 Математика</t>
  </si>
  <si>
    <t>F Інформаційні технології</t>
  </si>
  <si>
    <t>F1 Прикладна математика</t>
  </si>
  <si>
    <t>F2 Інженерія програмного забезпечення</t>
  </si>
  <si>
    <t xml:space="preserve">F3 Комп'ютерні науки (ОНП Комп'ютерні науки) </t>
  </si>
  <si>
    <t>F4 Системний аналіз та наука про дані</t>
  </si>
  <si>
    <t xml:space="preserve">F5 Кібербезпека та захист інформації (ОНП Кібербезпека) </t>
  </si>
  <si>
    <t>F6 Інформаційні системи і технології</t>
  </si>
  <si>
    <t>F7 Комп'ютерна інженерія</t>
  </si>
  <si>
    <t>G Інженерія, виробництво та будівництво</t>
  </si>
  <si>
    <t>G1 Хімічні технології та інженерія</t>
  </si>
  <si>
    <t>G3 Електрична інженерія</t>
  </si>
  <si>
    <t>G6 Інформаційно-вимірювальні технології</t>
  </si>
  <si>
    <t>G7 Автоматизація, комп’ютерно-інтегровані технології та робототехніка</t>
  </si>
  <si>
    <t>G4 Енерговиробництво</t>
  </si>
  <si>
    <t>G5 Електроніка, електронні комунікації, приладобудування та радіотехніка (ОНП Мікро- та наносистемна техніка) (49-40 кредитів)</t>
  </si>
  <si>
    <t>G5 Електроніка, електронні комунікації, приладобудування та радіотехніка (всі, окрім Мікро- та наносистемна техніка) (55-50 кредитів)</t>
  </si>
  <si>
    <t>G8 Матеріалознавство</t>
  </si>
  <si>
    <t>G9 Прикладна механіка</t>
  </si>
  <si>
    <t>G10 Металургія</t>
  </si>
  <si>
    <t>G11 Машинобудування</t>
  </si>
  <si>
    <t>G12 Авіаційна та ракетно-космічна техніка</t>
  </si>
  <si>
    <t>G16 Гірництво та нафтогазові технології</t>
  </si>
  <si>
    <t>G20 Видавництво та поліграфія</t>
  </si>
  <si>
    <t>G21 Біотехнології та біоінженерія</t>
  </si>
  <si>
    <t>G22 Біомедична інженерія</t>
  </si>
  <si>
    <t>І Охорона здоров'я та соціальне забезпечення</t>
  </si>
  <si>
    <t>I7 Терапія та реабілітація</t>
  </si>
  <si>
    <t>I10 Соціальна робота та консультування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</si>
</sst>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17" x14ac:knownFonts="1">
    <font>
      <sz val="10"/>
      <color rgb="FF000000"/>
      <name val="Calibri"/>
      <scheme val="minor"/>
    </font>
    <font>
      <sz val="10"/>
      <color rgb="FF000000"/>
      <name val="Times New Roman"/>
      <family val="1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u/>
      <sz val="14"/>
      <color theme="1"/>
      <name val="Times New Roman"/>
      <family val="1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</font>
    <font>
      <sz val="10"/>
      <name val="Calibri"/>
      <family val="2"/>
      <charset val="204"/>
    </font>
    <font>
      <b/>
      <sz val="1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wrapText="1"/>
    </xf>
    <xf numFmtId="0" fontId="7" fillId="0" borderId="7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wrapText="1"/>
    </xf>
    <xf numFmtId="0" fontId="14" fillId="0" borderId="3" xfId="0" applyFont="1" applyBorder="1" applyAlignment="1">
      <alignment horizontal="left" vertical="center" wrapText="1"/>
    </xf>
    <xf numFmtId="49" fontId="8" fillId="0" borderId="8" xfId="0" applyNumberFormat="1" applyFont="1" applyBorder="1" applyAlignment="1">
      <alignment horizontal="left" vertical="center" wrapText="1"/>
    </xf>
    <xf numFmtId="164" fontId="12" fillId="0" borderId="9" xfId="1" applyNumberFormat="1" applyFont="1" applyBorder="1" applyAlignment="1">
      <alignment horizontal="center" vertical="center" wrapText="1"/>
    </xf>
    <xf numFmtId="164" fontId="8" fillId="0" borderId="9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4" fillId="0" borderId="2" xfId="0" applyFont="1" applyBorder="1" applyAlignment="1">
      <alignment horizontal="left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49" fontId="3" fillId="0" borderId="0" xfId="0" applyNumberFormat="1" applyFont="1" applyAlignment="1">
      <alignment horizontal="left" vertical="center" wrapText="1"/>
    </xf>
    <xf numFmtId="3" fontId="8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5251-8187-404B-818A-582C4643D719}">
  <sheetPr>
    <outlinePr summaryBelow="0" summaryRight="0"/>
  </sheetPr>
  <dimension ref="A1:X992"/>
  <sheetViews>
    <sheetView tabSelected="1" view="pageBreakPreview" zoomScale="98" zoomScaleNormal="48" zoomScaleSheetLayoutView="98" workbookViewId="0">
      <selection activeCell="M14" sqref="M14"/>
    </sheetView>
  </sheetViews>
  <sheetFormatPr defaultColWidth="14.42578125" defaultRowHeight="15" customHeight="1" x14ac:dyDescent="0.2"/>
  <cols>
    <col min="1" max="1" width="29" style="1" customWidth="1"/>
    <col min="2" max="2" width="56.42578125" style="1" customWidth="1"/>
    <col min="3" max="3" width="17.28515625" style="1" customWidth="1"/>
    <col min="4" max="4" width="12.5703125" style="1" bestFit="1" customWidth="1"/>
    <col min="5" max="7" width="17.28515625" style="1" customWidth="1"/>
    <col min="8" max="8" width="11.5703125" style="1" customWidth="1"/>
    <col min="9" max="9" width="17.42578125" style="1" customWidth="1"/>
    <col min="10" max="10" width="12.42578125" style="1" customWidth="1"/>
    <col min="11" max="24" width="8.85546875" style="1" customWidth="1"/>
    <col min="25" max="16384" width="14.42578125" style="1"/>
  </cols>
  <sheetData>
    <row r="1" spans="1:24" ht="15" customHeight="1" x14ac:dyDescent="0.2">
      <c r="B1" s="2" t="s">
        <v>0</v>
      </c>
      <c r="C1" s="2"/>
      <c r="D1" s="2"/>
      <c r="E1" s="2"/>
      <c r="F1" s="2"/>
      <c r="G1" s="2"/>
      <c r="H1" s="2"/>
      <c r="I1" s="2"/>
      <c r="J1" s="2"/>
    </row>
    <row r="2" spans="1:24" ht="29.45" customHeight="1" x14ac:dyDescent="0.2">
      <c r="B2" s="3"/>
      <c r="C2" s="3"/>
      <c r="D2" s="3"/>
      <c r="E2" s="4" t="s">
        <v>1</v>
      </c>
      <c r="F2" s="4"/>
      <c r="G2" s="4"/>
      <c r="H2" s="4"/>
      <c r="I2" s="4"/>
      <c r="J2" s="4"/>
    </row>
    <row r="3" spans="1:24" ht="20.100000000000001" customHeight="1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6.5" customHeight="1" x14ac:dyDescent="0.3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6.5" customHeight="1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6.5" customHeight="1" x14ac:dyDescent="0.3">
      <c r="A6" s="9" t="s">
        <v>5</v>
      </c>
      <c r="B6" s="9"/>
      <c r="C6" s="9"/>
      <c r="D6" s="9"/>
      <c r="E6" s="9"/>
      <c r="F6" s="9"/>
      <c r="G6" s="9"/>
      <c r="H6" s="9"/>
      <c r="I6" s="9"/>
      <c r="J6" s="9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6.5" customHeight="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6.5" customHeight="1" x14ac:dyDescent="0.25">
      <c r="A8" s="11" t="s">
        <v>6</v>
      </c>
      <c r="B8" s="12" t="s">
        <v>7</v>
      </c>
      <c r="C8" s="13" t="s">
        <v>8</v>
      </c>
      <c r="D8" s="13"/>
      <c r="E8" s="13"/>
      <c r="F8" s="13"/>
      <c r="G8" s="13"/>
      <c r="H8" s="13"/>
      <c r="I8" s="13"/>
      <c r="J8" s="1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60" customHeight="1" x14ac:dyDescent="0.25">
      <c r="A9" s="14"/>
      <c r="B9" s="12"/>
      <c r="C9" s="15" t="s">
        <v>9</v>
      </c>
      <c r="D9" s="16"/>
      <c r="E9" s="17" t="s">
        <v>10</v>
      </c>
      <c r="F9" s="18"/>
      <c r="G9" s="19" t="s">
        <v>11</v>
      </c>
      <c r="H9" s="20"/>
      <c r="I9" s="21" t="s">
        <v>12</v>
      </c>
      <c r="J9" s="2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95.25" customHeight="1" x14ac:dyDescent="0.25">
      <c r="A10" s="23"/>
      <c r="B10" s="12"/>
      <c r="C10" s="24" t="s">
        <v>13</v>
      </c>
      <c r="D10" s="24" t="s">
        <v>14</v>
      </c>
      <c r="E10" s="24" t="s">
        <v>15</v>
      </c>
      <c r="F10" s="24" t="s">
        <v>14</v>
      </c>
      <c r="G10" s="24" t="s">
        <v>15</v>
      </c>
      <c r="H10" s="24" t="s">
        <v>14</v>
      </c>
      <c r="I10" s="24" t="s">
        <v>16</v>
      </c>
      <c r="J10" s="24" t="s">
        <v>17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ht="15.75" customHeight="1" x14ac:dyDescent="0.25">
      <c r="A11" s="26" t="s">
        <v>18</v>
      </c>
      <c r="B11" s="27" t="s">
        <v>19</v>
      </c>
      <c r="C11" s="28">
        <v>82000</v>
      </c>
      <c r="D11" s="29">
        <v>65600</v>
      </c>
      <c r="E11" s="28">
        <f>65600+26160</f>
        <v>91760</v>
      </c>
      <c r="F11" s="28">
        <f>E11*80%-8</f>
        <v>73400</v>
      </c>
      <c r="G11" s="28">
        <v>65600</v>
      </c>
      <c r="H11" s="29">
        <f>G11*80%+20</f>
        <v>52500</v>
      </c>
      <c r="I11" s="28">
        <f t="shared" ref="I11:I52" si="0">C11*2+E11*2</f>
        <v>347520</v>
      </c>
      <c r="J11" s="29">
        <f t="shared" ref="J11:J52" si="1">D11*2+H11*2</f>
        <v>236200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</row>
    <row r="12" spans="1:24" ht="15.75" customHeight="1" x14ac:dyDescent="0.25">
      <c r="A12" s="31" t="s">
        <v>20</v>
      </c>
      <c r="B12" s="32" t="s">
        <v>21</v>
      </c>
      <c r="C12" s="28">
        <v>94500</v>
      </c>
      <c r="D12" s="29">
        <f>ROUND(C12*80%,0)</f>
        <v>75600</v>
      </c>
      <c r="E12" s="28">
        <f>75600+26160</f>
        <v>101760</v>
      </c>
      <c r="F12" s="28">
        <f t="shared" ref="F12:F52" si="2">E12*80%-8</f>
        <v>81400</v>
      </c>
      <c r="G12" s="28">
        <v>75600</v>
      </c>
      <c r="H12" s="29">
        <f t="shared" ref="H12:H52" si="3">G12*80%+20</f>
        <v>60500</v>
      </c>
      <c r="I12" s="28">
        <f t="shared" si="0"/>
        <v>392520</v>
      </c>
      <c r="J12" s="29">
        <f t="shared" si="1"/>
        <v>272200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spans="1:24" ht="15.75" customHeight="1" x14ac:dyDescent="0.25">
      <c r="A13" s="33"/>
      <c r="B13" s="27" t="s">
        <v>22</v>
      </c>
      <c r="C13" s="28">
        <v>82000</v>
      </c>
      <c r="D13" s="29">
        <f>ROUND(C13*80%,0)</f>
        <v>65600</v>
      </c>
      <c r="E13" s="28">
        <f>65600+26160</f>
        <v>91760</v>
      </c>
      <c r="F13" s="28">
        <f t="shared" si="2"/>
        <v>73400</v>
      </c>
      <c r="G13" s="28">
        <v>65600</v>
      </c>
      <c r="H13" s="29">
        <f t="shared" si="3"/>
        <v>52500</v>
      </c>
      <c r="I13" s="28">
        <f t="shared" si="0"/>
        <v>347520</v>
      </c>
      <c r="J13" s="29">
        <f t="shared" si="1"/>
        <v>236200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spans="1:24" ht="15.75" customHeight="1" x14ac:dyDescent="0.25">
      <c r="A14" s="34"/>
      <c r="B14" s="27" t="s">
        <v>23</v>
      </c>
      <c r="C14" s="28">
        <v>82000</v>
      </c>
      <c r="D14" s="29">
        <f>ROUND(C14*80%,0)</f>
        <v>65600</v>
      </c>
      <c r="E14" s="28">
        <f>65600+26160</f>
        <v>91760</v>
      </c>
      <c r="F14" s="28">
        <f t="shared" si="2"/>
        <v>73400</v>
      </c>
      <c r="G14" s="28">
        <v>65600</v>
      </c>
      <c r="H14" s="29">
        <f t="shared" si="3"/>
        <v>52500</v>
      </c>
      <c r="I14" s="28">
        <f t="shared" si="0"/>
        <v>347520</v>
      </c>
      <c r="J14" s="29">
        <f t="shared" si="1"/>
        <v>236200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spans="1:24" ht="15.75" customHeight="1" x14ac:dyDescent="0.25">
      <c r="A15" s="31" t="s">
        <v>24</v>
      </c>
      <c r="B15" s="27" t="s">
        <v>25</v>
      </c>
      <c r="C15" s="28">
        <v>94500</v>
      </c>
      <c r="D15" s="29">
        <f t="shared" ref="D15:D52" si="4">ROUND(C15*80%,0)</f>
        <v>75600</v>
      </c>
      <c r="E15" s="28">
        <f t="shared" ref="E15:E17" si="5">75600+26160</f>
        <v>101760</v>
      </c>
      <c r="F15" s="28">
        <f t="shared" si="2"/>
        <v>81400</v>
      </c>
      <c r="G15" s="28">
        <v>75600</v>
      </c>
      <c r="H15" s="29">
        <f t="shared" si="3"/>
        <v>60500</v>
      </c>
      <c r="I15" s="28">
        <f t="shared" si="0"/>
        <v>392520</v>
      </c>
      <c r="J15" s="29">
        <f t="shared" si="1"/>
        <v>272200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</row>
    <row r="16" spans="1:24" ht="15.75" customHeight="1" x14ac:dyDescent="0.25">
      <c r="A16" s="33"/>
      <c r="B16" s="27" t="s">
        <v>26</v>
      </c>
      <c r="C16" s="28">
        <v>94500</v>
      </c>
      <c r="D16" s="29">
        <f t="shared" si="4"/>
        <v>75600</v>
      </c>
      <c r="E16" s="28">
        <f t="shared" si="5"/>
        <v>101760</v>
      </c>
      <c r="F16" s="28">
        <f t="shared" si="2"/>
        <v>81400</v>
      </c>
      <c r="G16" s="28">
        <v>75600</v>
      </c>
      <c r="H16" s="29">
        <f t="shared" si="3"/>
        <v>60500</v>
      </c>
      <c r="I16" s="28">
        <f t="shared" si="0"/>
        <v>392520</v>
      </c>
      <c r="J16" s="29">
        <f t="shared" si="1"/>
        <v>272200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spans="1:24" ht="15.75" customHeight="1" x14ac:dyDescent="0.25">
      <c r="A17" s="33"/>
      <c r="B17" s="27" t="s">
        <v>27</v>
      </c>
      <c r="C17" s="28">
        <v>94500</v>
      </c>
      <c r="D17" s="29">
        <f t="shared" si="4"/>
        <v>75600</v>
      </c>
      <c r="E17" s="28">
        <f t="shared" si="5"/>
        <v>101760</v>
      </c>
      <c r="F17" s="28">
        <f t="shared" si="2"/>
        <v>81400</v>
      </c>
      <c r="G17" s="28">
        <v>75600</v>
      </c>
      <c r="H17" s="29">
        <f t="shared" si="3"/>
        <v>60500</v>
      </c>
      <c r="I17" s="28">
        <f t="shared" si="0"/>
        <v>392520</v>
      </c>
      <c r="J17" s="29">
        <f t="shared" si="1"/>
        <v>272200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</row>
    <row r="18" spans="1:24" ht="15.75" customHeight="1" x14ac:dyDescent="0.25">
      <c r="A18" s="34"/>
      <c r="B18" s="27" t="s">
        <v>28</v>
      </c>
      <c r="C18" s="28">
        <v>82000</v>
      </c>
      <c r="D18" s="29">
        <f t="shared" si="4"/>
        <v>65600</v>
      </c>
      <c r="E18" s="28">
        <f>65600+26160</f>
        <v>91760</v>
      </c>
      <c r="F18" s="28">
        <f t="shared" si="2"/>
        <v>73400</v>
      </c>
      <c r="G18" s="28">
        <v>65600</v>
      </c>
      <c r="H18" s="29">
        <f t="shared" si="3"/>
        <v>52500</v>
      </c>
      <c r="I18" s="28">
        <f t="shared" si="0"/>
        <v>347520</v>
      </c>
      <c r="J18" s="29">
        <f t="shared" si="1"/>
        <v>236200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spans="1:24" ht="17.25" customHeight="1" x14ac:dyDescent="0.25">
      <c r="A19" s="31" t="s">
        <v>29</v>
      </c>
      <c r="B19" s="27" t="s">
        <v>30</v>
      </c>
      <c r="C19" s="28">
        <v>94500</v>
      </c>
      <c r="D19" s="29">
        <f t="shared" si="4"/>
        <v>75600</v>
      </c>
      <c r="E19" s="28">
        <f t="shared" ref="E19:E22" si="6">75600+26160</f>
        <v>101760</v>
      </c>
      <c r="F19" s="28">
        <f t="shared" si="2"/>
        <v>81400</v>
      </c>
      <c r="G19" s="28">
        <v>75600</v>
      </c>
      <c r="H19" s="29">
        <f t="shared" si="3"/>
        <v>60500</v>
      </c>
      <c r="I19" s="28">
        <f t="shared" si="0"/>
        <v>392520</v>
      </c>
      <c r="J19" s="29">
        <f t="shared" si="1"/>
        <v>272200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spans="1:24" ht="15.75" customHeight="1" x14ac:dyDescent="0.25">
      <c r="A20" s="33"/>
      <c r="B20" s="27" t="s">
        <v>31</v>
      </c>
      <c r="C20" s="28">
        <v>94500</v>
      </c>
      <c r="D20" s="29">
        <f t="shared" si="4"/>
        <v>75600</v>
      </c>
      <c r="E20" s="28">
        <f t="shared" si="6"/>
        <v>101760</v>
      </c>
      <c r="F20" s="28">
        <f t="shared" si="2"/>
        <v>81400</v>
      </c>
      <c r="G20" s="28">
        <v>75600</v>
      </c>
      <c r="H20" s="29">
        <f t="shared" si="3"/>
        <v>60500</v>
      </c>
      <c r="I20" s="28">
        <f t="shared" si="0"/>
        <v>392520</v>
      </c>
      <c r="J20" s="29">
        <f t="shared" si="1"/>
        <v>272200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spans="1:24" ht="18" customHeight="1" x14ac:dyDescent="0.25">
      <c r="A21" s="33"/>
      <c r="B21" s="27" t="s">
        <v>32</v>
      </c>
      <c r="C21" s="28">
        <v>94500</v>
      </c>
      <c r="D21" s="29">
        <f t="shared" si="4"/>
        <v>75600</v>
      </c>
      <c r="E21" s="28">
        <f t="shared" si="6"/>
        <v>101760</v>
      </c>
      <c r="F21" s="28">
        <f t="shared" si="2"/>
        <v>81400</v>
      </c>
      <c r="G21" s="28">
        <v>75600</v>
      </c>
      <c r="H21" s="29">
        <f t="shared" si="3"/>
        <v>60500</v>
      </c>
      <c r="I21" s="28">
        <f t="shared" si="0"/>
        <v>392520</v>
      </c>
      <c r="J21" s="29">
        <f t="shared" si="1"/>
        <v>272200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spans="1:24" ht="15.75" customHeight="1" x14ac:dyDescent="0.25">
      <c r="A22" s="34"/>
      <c r="B22" s="27" t="s">
        <v>33</v>
      </c>
      <c r="C22" s="28">
        <v>94500</v>
      </c>
      <c r="D22" s="29">
        <f t="shared" si="4"/>
        <v>75600</v>
      </c>
      <c r="E22" s="28">
        <f t="shared" si="6"/>
        <v>101760</v>
      </c>
      <c r="F22" s="28">
        <f t="shared" si="2"/>
        <v>81400</v>
      </c>
      <c r="G22" s="28">
        <v>75600</v>
      </c>
      <c r="H22" s="29">
        <f t="shared" si="3"/>
        <v>60500</v>
      </c>
      <c r="I22" s="28">
        <f t="shared" si="0"/>
        <v>392520</v>
      </c>
      <c r="J22" s="29">
        <f t="shared" si="1"/>
        <v>272200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 spans="1:24" ht="15.75" customHeight="1" x14ac:dyDescent="0.25">
      <c r="A23" s="31" t="s">
        <v>34</v>
      </c>
      <c r="B23" s="27" t="s">
        <v>35</v>
      </c>
      <c r="C23" s="28">
        <v>82000</v>
      </c>
      <c r="D23" s="29">
        <f t="shared" si="4"/>
        <v>65600</v>
      </c>
      <c r="E23" s="28">
        <f t="shared" ref="E23:E51" si="7">65600+26160</f>
        <v>91760</v>
      </c>
      <c r="F23" s="28">
        <f t="shared" si="2"/>
        <v>73400</v>
      </c>
      <c r="G23" s="29">
        <v>65600</v>
      </c>
      <c r="H23" s="29">
        <f t="shared" si="3"/>
        <v>52500</v>
      </c>
      <c r="I23" s="28">
        <f t="shared" si="0"/>
        <v>347520</v>
      </c>
      <c r="J23" s="29">
        <f t="shared" si="1"/>
        <v>236200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 spans="1:24" ht="15.75" customHeight="1" x14ac:dyDescent="0.25">
      <c r="A24" s="33"/>
      <c r="B24" s="27" t="s">
        <v>36</v>
      </c>
      <c r="C24" s="28">
        <v>82000</v>
      </c>
      <c r="D24" s="29">
        <f t="shared" si="4"/>
        <v>65600</v>
      </c>
      <c r="E24" s="28">
        <f t="shared" si="7"/>
        <v>91760</v>
      </c>
      <c r="F24" s="28">
        <f t="shared" si="2"/>
        <v>73400</v>
      </c>
      <c r="G24" s="28">
        <v>65600</v>
      </c>
      <c r="H24" s="29">
        <f t="shared" si="3"/>
        <v>52500</v>
      </c>
      <c r="I24" s="28">
        <f t="shared" si="0"/>
        <v>347520</v>
      </c>
      <c r="J24" s="29">
        <f t="shared" si="1"/>
        <v>236200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spans="1:24" ht="15.75" customHeight="1" x14ac:dyDescent="0.25">
      <c r="A25" s="33"/>
      <c r="B25" s="27" t="s">
        <v>37</v>
      </c>
      <c r="C25" s="28">
        <v>82000</v>
      </c>
      <c r="D25" s="29">
        <f t="shared" si="4"/>
        <v>65600</v>
      </c>
      <c r="E25" s="28">
        <f t="shared" si="7"/>
        <v>91760</v>
      </c>
      <c r="F25" s="28">
        <f t="shared" si="2"/>
        <v>73400</v>
      </c>
      <c r="G25" s="28">
        <v>65600</v>
      </c>
      <c r="H25" s="29">
        <f t="shared" si="3"/>
        <v>52500</v>
      </c>
      <c r="I25" s="28">
        <f t="shared" si="0"/>
        <v>347520</v>
      </c>
      <c r="J25" s="29">
        <f t="shared" si="1"/>
        <v>236200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 spans="1:24" ht="15.75" customHeight="1" x14ac:dyDescent="0.25">
      <c r="A26" s="33"/>
      <c r="B26" s="27" t="s">
        <v>38</v>
      </c>
      <c r="C26" s="28">
        <v>82000</v>
      </c>
      <c r="D26" s="29">
        <f t="shared" si="4"/>
        <v>65600</v>
      </c>
      <c r="E26" s="28">
        <f t="shared" si="7"/>
        <v>91760</v>
      </c>
      <c r="F26" s="28">
        <f t="shared" si="2"/>
        <v>73400</v>
      </c>
      <c r="G26" s="28">
        <v>65600</v>
      </c>
      <c r="H26" s="29">
        <f t="shared" si="3"/>
        <v>52500</v>
      </c>
      <c r="I26" s="28">
        <f t="shared" si="0"/>
        <v>347520</v>
      </c>
      <c r="J26" s="29">
        <f t="shared" si="1"/>
        <v>236200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 spans="1:24" ht="15.75" customHeight="1" x14ac:dyDescent="0.25">
      <c r="A27" s="34"/>
      <c r="B27" s="27" t="s">
        <v>39</v>
      </c>
      <c r="C27" s="28">
        <v>82000</v>
      </c>
      <c r="D27" s="29">
        <f t="shared" si="4"/>
        <v>65600</v>
      </c>
      <c r="E27" s="28">
        <f t="shared" si="7"/>
        <v>91760</v>
      </c>
      <c r="F27" s="28">
        <f t="shared" si="2"/>
        <v>73400</v>
      </c>
      <c r="G27" s="28">
        <v>65600</v>
      </c>
      <c r="H27" s="29">
        <f t="shared" si="3"/>
        <v>52500</v>
      </c>
      <c r="I27" s="28">
        <f t="shared" si="0"/>
        <v>347520</v>
      </c>
      <c r="J27" s="29">
        <f t="shared" si="1"/>
        <v>236200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</row>
    <row r="28" spans="1:24" ht="15.75" customHeight="1" x14ac:dyDescent="0.25">
      <c r="A28" s="31" t="s">
        <v>40</v>
      </c>
      <c r="B28" s="27" t="s">
        <v>41</v>
      </c>
      <c r="C28" s="28">
        <v>82000</v>
      </c>
      <c r="D28" s="29">
        <f t="shared" si="4"/>
        <v>65600</v>
      </c>
      <c r="E28" s="28">
        <f t="shared" si="7"/>
        <v>91760</v>
      </c>
      <c r="F28" s="28">
        <f t="shared" si="2"/>
        <v>73400</v>
      </c>
      <c r="G28" s="28">
        <v>65600</v>
      </c>
      <c r="H28" s="29">
        <f t="shared" si="3"/>
        <v>52500</v>
      </c>
      <c r="I28" s="28">
        <f t="shared" si="0"/>
        <v>347520</v>
      </c>
      <c r="J28" s="29">
        <f t="shared" si="1"/>
        <v>236200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spans="1:24" ht="15.75" customHeight="1" x14ac:dyDescent="0.25">
      <c r="A29" s="33"/>
      <c r="B29" s="27" t="s">
        <v>42</v>
      </c>
      <c r="C29" s="28">
        <v>82000</v>
      </c>
      <c r="D29" s="29">
        <f t="shared" si="4"/>
        <v>65600</v>
      </c>
      <c r="E29" s="28">
        <f t="shared" si="7"/>
        <v>91760</v>
      </c>
      <c r="F29" s="28">
        <f t="shared" si="2"/>
        <v>73400</v>
      </c>
      <c r="G29" s="28">
        <v>65600</v>
      </c>
      <c r="H29" s="29">
        <f t="shared" si="3"/>
        <v>52500</v>
      </c>
      <c r="I29" s="28">
        <f t="shared" si="0"/>
        <v>347520</v>
      </c>
      <c r="J29" s="29">
        <f t="shared" si="1"/>
        <v>236200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spans="1:24" ht="30.75" customHeight="1" x14ac:dyDescent="0.25">
      <c r="A30" s="33"/>
      <c r="B30" s="27" t="s">
        <v>43</v>
      </c>
      <c r="C30" s="28">
        <v>82000</v>
      </c>
      <c r="D30" s="29">
        <f t="shared" si="4"/>
        <v>65600</v>
      </c>
      <c r="E30" s="28">
        <f t="shared" si="7"/>
        <v>91760</v>
      </c>
      <c r="F30" s="28">
        <f t="shared" si="2"/>
        <v>73400</v>
      </c>
      <c r="G30" s="28">
        <v>65600</v>
      </c>
      <c r="H30" s="29">
        <f t="shared" si="3"/>
        <v>52500</v>
      </c>
      <c r="I30" s="28">
        <f t="shared" si="0"/>
        <v>347520</v>
      </c>
      <c r="J30" s="29">
        <f t="shared" si="1"/>
        <v>236200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spans="1:24" ht="20.25" customHeight="1" x14ac:dyDescent="0.25">
      <c r="A31" s="33"/>
      <c r="B31" s="27" t="s">
        <v>44</v>
      </c>
      <c r="C31" s="28">
        <v>82000</v>
      </c>
      <c r="D31" s="29">
        <f t="shared" si="4"/>
        <v>65600</v>
      </c>
      <c r="E31" s="28">
        <f t="shared" si="7"/>
        <v>91760</v>
      </c>
      <c r="F31" s="28">
        <f t="shared" si="2"/>
        <v>73400</v>
      </c>
      <c r="G31" s="28">
        <v>65600</v>
      </c>
      <c r="H31" s="29">
        <f t="shared" si="3"/>
        <v>52500</v>
      </c>
      <c r="I31" s="28">
        <f t="shared" si="0"/>
        <v>347520</v>
      </c>
      <c r="J31" s="29">
        <f t="shared" si="1"/>
        <v>236200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spans="1:24" ht="31.5" customHeight="1" x14ac:dyDescent="0.25">
      <c r="A32" s="33"/>
      <c r="B32" s="27" t="s">
        <v>45</v>
      </c>
      <c r="C32" s="28">
        <v>82000</v>
      </c>
      <c r="D32" s="29">
        <f t="shared" si="4"/>
        <v>65600</v>
      </c>
      <c r="E32" s="28">
        <f t="shared" si="7"/>
        <v>91760</v>
      </c>
      <c r="F32" s="28">
        <f t="shared" si="2"/>
        <v>73400</v>
      </c>
      <c r="G32" s="28">
        <v>65600</v>
      </c>
      <c r="H32" s="29">
        <f t="shared" si="3"/>
        <v>52500</v>
      </c>
      <c r="I32" s="28">
        <f t="shared" si="0"/>
        <v>347520</v>
      </c>
      <c r="J32" s="29">
        <f t="shared" si="1"/>
        <v>236200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spans="1:24" ht="24.95" customHeight="1" x14ac:dyDescent="0.25">
      <c r="A33" s="33"/>
      <c r="B33" s="27" t="s">
        <v>46</v>
      </c>
      <c r="C33" s="28">
        <v>82000</v>
      </c>
      <c r="D33" s="29">
        <f t="shared" si="4"/>
        <v>65600</v>
      </c>
      <c r="E33" s="28">
        <f t="shared" si="7"/>
        <v>91760</v>
      </c>
      <c r="F33" s="28">
        <f t="shared" si="2"/>
        <v>73400</v>
      </c>
      <c r="G33" s="28">
        <v>65600</v>
      </c>
      <c r="H33" s="29">
        <f t="shared" si="3"/>
        <v>52500</v>
      </c>
      <c r="I33" s="28">
        <f t="shared" si="0"/>
        <v>347520</v>
      </c>
      <c r="J33" s="29">
        <f t="shared" si="1"/>
        <v>236200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</row>
    <row r="34" spans="1:24" ht="15.75" customHeight="1" x14ac:dyDescent="0.25">
      <c r="A34" s="34"/>
      <c r="B34" s="27" t="s">
        <v>47</v>
      </c>
      <c r="C34" s="28">
        <v>82000</v>
      </c>
      <c r="D34" s="29">
        <f t="shared" si="4"/>
        <v>65600</v>
      </c>
      <c r="E34" s="28">
        <f t="shared" si="7"/>
        <v>91760</v>
      </c>
      <c r="F34" s="28">
        <f t="shared" si="2"/>
        <v>73400</v>
      </c>
      <c r="G34" s="28">
        <v>65600</v>
      </c>
      <c r="H34" s="29">
        <f t="shared" si="3"/>
        <v>52500</v>
      </c>
      <c r="I34" s="28">
        <f t="shared" si="0"/>
        <v>347520</v>
      </c>
      <c r="J34" s="29">
        <f t="shared" si="1"/>
        <v>236200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spans="1:24" ht="15.75" customHeight="1" x14ac:dyDescent="0.25">
      <c r="A35" s="31" t="s">
        <v>48</v>
      </c>
      <c r="B35" s="27" t="s">
        <v>49</v>
      </c>
      <c r="C35" s="28">
        <v>82000</v>
      </c>
      <c r="D35" s="29">
        <f t="shared" si="4"/>
        <v>65600</v>
      </c>
      <c r="E35" s="28">
        <f t="shared" si="7"/>
        <v>91760</v>
      </c>
      <c r="F35" s="28">
        <f t="shared" si="2"/>
        <v>73400</v>
      </c>
      <c r="G35" s="28">
        <v>65600</v>
      </c>
      <c r="H35" s="29">
        <f t="shared" si="3"/>
        <v>52500</v>
      </c>
      <c r="I35" s="28">
        <f t="shared" si="0"/>
        <v>347520</v>
      </c>
      <c r="J35" s="29">
        <f t="shared" si="1"/>
        <v>236200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spans="1:24" ht="15.75" customHeight="1" x14ac:dyDescent="0.25">
      <c r="A36" s="33"/>
      <c r="B36" s="27" t="s">
        <v>50</v>
      </c>
      <c r="C36" s="28">
        <v>94500</v>
      </c>
      <c r="D36" s="29">
        <f t="shared" si="4"/>
        <v>75600</v>
      </c>
      <c r="E36" s="28">
        <f t="shared" ref="E36" si="8">75600+26160</f>
        <v>101760</v>
      </c>
      <c r="F36" s="28">
        <f t="shared" si="2"/>
        <v>81400</v>
      </c>
      <c r="G36" s="28">
        <v>75600</v>
      </c>
      <c r="H36" s="29">
        <f t="shared" si="3"/>
        <v>60500</v>
      </c>
      <c r="I36" s="28">
        <f t="shared" si="0"/>
        <v>392520</v>
      </c>
      <c r="J36" s="29">
        <f t="shared" si="1"/>
        <v>272200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spans="1:24" ht="15.75" customHeight="1" x14ac:dyDescent="0.25">
      <c r="A37" s="33"/>
      <c r="B37" s="27" t="s">
        <v>51</v>
      </c>
      <c r="C37" s="28">
        <v>82000</v>
      </c>
      <c r="D37" s="29">
        <f t="shared" si="4"/>
        <v>65600</v>
      </c>
      <c r="E37" s="28">
        <f t="shared" si="7"/>
        <v>91760</v>
      </c>
      <c r="F37" s="28">
        <f t="shared" si="2"/>
        <v>73400</v>
      </c>
      <c r="G37" s="28">
        <v>65600</v>
      </c>
      <c r="H37" s="29">
        <f t="shared" si="3"/>
        <v>52500</v>
      </c>
      <c r="I37" s="28">
        <f t="shared" si="0"/>
        <v>347520</v>
      </c>
      <c r="J37" s="29">
        <f t="shared" si="1"/>
        <v>236200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spans="1:24" ht="40.5" customHeight="1" x14ac:dyDescent="0.25">
      <c r="A38" s="33"/>
      <c r="B38" s="27" t="s">
        <v>52</v>
      </c>
      <c r="C38" s="28">
        <v>82000</v>
      </c>
      <c r="D38" s="29">
        <f t="shared" si="4"/>
        <v>65600</v>
      </c>
      <c r="E38" s="28">
        <f t="shared" si="7"/>
        <v>91760</v>
      </c>
      <c r="F38" s="28">
        <f t="shared" si="2"/>
        <v>73400</v>
      </c>
      <c r="G38" s="28">
        <v>65600</v>
      </c>
      <c r="H38" s="29">
        <f t="shared" si="3"/>
        <v>52500</v>
      </c>
      <c r="I38" s="28">
        <f t="shared" si="0"/>
        <v>347520</v>
      </c>
      <c r="J38" s="29">
        <f t="shared" si="1"/>
        <v>236200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spans="1:24" ht="15.75" customHeight="1" x14ac:dyDescent="0.25">
      <c r="A39" s="33"/>
      <c r="B39" s="27" t="s">
        <v>53</v>
      </c>
      <c r="C39" s="28">
        <v>82000</v>
      </c>
      <c r="D39" s="29">
        <f t="shared" si="4"/>
        <v>65600</v>
      </c>
      <c r="E39" s="28">
        <f t="shared" si="7"/>
        <v>91760</v>
      </c>
      <c r="F39" s="28">
        <f t="shared" si="2"/>
        <v>73400</v>
      </c>
      <c r="G39" s="28">
        <v>65600</v>
      </c>
      <c r="H39" s="29">
        <f t="shared" si="3"/>
        <v>52500</v>
      </c>
      <c r="I39" s="28">
        <f t="shared" si="0"/>
        <v>347520</v>
      </c>
      <c r="J39" s="29">
        <f t="shared" si="1"/>
        <v>236200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spans="1:24" ht="54.75" customHeight="1" x14ac:dyDescent="0.25">
      <c r="A40" s="33"/>
      <c r="B40" s="27" t="s">
        <v>54</v>
      </c>
      <c r="C40" s="28">
        <v>82000</v>
      </c>
      <c r="D40" s="29">
        <f t="shared" si="4"/>
        <v>65600</v>
      </c>
      <c r="E40" s="28">
        <f t="shared" si="7"/>
        <v>91760</v>
      </c>
      <c r="F40" s="28">
        <f t="shared" si="2"/>
        <v>73400</v>
      </c>
      <c r="G40" s="28">
        <v>65600</v>
      </c>
      <c r="H40" s="29">
        <f t="shared" si="3"/>
        <v>52500</v>
      </c>
      <c r="I40" s="28">
        <f t="shared" si="0"/>
        <v>347520</v>
      </c>
      <c r="J40" s="29">
        <f t="shared" si="1"/>
        <v>236200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spans="1:24" ht="56.1" customHeight="1" x14ac:dyDescent="0.25">
      <c r="A41" s="33"/>
      <c r="B41" s="27" t="s">
        <v>55</v>
      </c>
      <c r="C41" s="28">
        <v>82000</v>
      </c>
      <c r="D41" s="29">
        <f t="shared" si="4"/>
        <v>65600</v>
      </c>
      <c r="E41" s="28">
        <f t="shared" si="7"/>
        <v>91760</v>
      </c>
      <c r="F41" s="28">
        <f t="shared" si="2"/>
        <v>73400</v>
      </c>
      <c r="G41" s="28">
        <v>65600</v>
      </c>
      <c r="H41" s="29">
        <f t="shared" si="3"/>
        <v>52500</v>
      </c>
      <c r="I41" s="28">
        <f t="shared" si="0"/>
        <v>347520</v>
      </c>
      <c r="J41" s="29">
        <f t="shared" si="1"/>
        <v>236200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spans="1:24" ht="15.75" customHeight="1" x14ac:dyDescent="0.25">
      <c r="A42" s="33"/>
      <c r="B42" s="27" t="s">
        <v>56</v>
      </c>
      <c r="C42" s="28">
        <v>82000</v>
      </c>
      <c r="D42" s="29">
        <f t="shared" si="4"/>
        <v>65600</v>
      </c>
      <c r="E42" s="28">
        <f t="shared" si="7"/>
        <v>91760</v>
      </c>
      <c r="F42" s="28">
        <f t="shared" si="2"/>
        <v>73400</v>
      </c>
      <c r="G42" s="28">
        <v>65600</v>
      </c>
      <c r="H42" s="29">
        <f t="shared" si="3"/>
        <v>52500</v>
      </c>
      <c r="I42" s="28">
        <f t="shared" si="0"/>
        <v>347520</v>
      </c>
      <c r="J42" s="29">
        <f t="shared" si="1"/>
        <v>236200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spans="1:24" ht="15.75" customHeight="1" x14ac:dyDescent="0.25">
      <c r="A43" s="33"/>
      <c r="B43" s="27" t="s">
        <v>57</v>
      </c>
      <c r="C43" s="28">
        <v>82000</v>
      </c>
      <c r="D43" s="29">
        <f t="shared" si="4"/>
        <v>65600</v>
      </c>
      <c r="E43" s="28">
        <f t="shared" si="7"/>
        <v>91760</v>
      </c>
      <c r="F43" s="28">
        <f t="shared" si="2"/>
        <v>73400</v>
      </c>
      <c r="G43" s="28">
        <v>65600</v>
      </c>
      <c r="H43" s="29">
        <f t="shared" si="3"/>
        <v>52500</v>
      </c>
      <c r="I43" s="28">
        <f t="shared" si="0"/>
        <v>347520</v>
      </c>
      <c r="J43" s="29">
        <f t="shared" si="1"/>
        <v>236200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spans="1:24" ht="15.75" customHeight="1" x14ac:dyDescent="0.25">
      <c r="A44" s="33"/>
      <c r="B44" s="27" t="s">
        <v>58</v>
      </c>
      <c r="C44" s="28">
        <v>82000</v>
      </c>
      <c r="D44" s="29">
        <f t="shared" si="4"/>
        <v>65600</v>
      </c>
      <c r="E44" s="28">
        <f t="shared" ref="E44" si="9">75600+26160</f>
        <v>101760</v>
      </c>
      <c r="F44" s="28">
        <f t="shared" si="2"/>
        <v>81400</v>
      </c>
      <c r="G44" s="28">
        <v>65600</v>
      </c>
      <c r="H44" s="29">
        <f t="shared" si="3"/>
        <v>52500</v>
      </c>
      <c r="I44" s="28">
        <f t="shared" si="0"/>
        <v>367520</v>
      </c>
      <c r="J44" s="29">
        <f t="shared" si="1"/>
        <v>236200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spans="1:24" ht="15.75" customHeight="1" x14ac:dyDescent="0.25">
      <c r="A45" s="33"/>
      <c r="B45" s="32" t="s">
        <v>59</v>
      </c>
      <c r="C45" s="28">
        <v>82000</v>
      </c>
      <c r="D45" s="29">
        <f t="shared" si="4"/>
        <v>65600</v>
      </c>
      <c r="E45" s="28">
        <f t="shared" si="7"/>
        <v>91760</v>
      </c>
      <c r="F45" s="28">
        <f t="shared" si="2"/>
        <v>73400</v>
      </c>
      <c r="G45" s="28">
        <v>65600</v>
      </c>
      <c r="H45" s="29">
        <f t="shared" si="3"/>
        <v>52500</v>
      </c>
      <c r="I45" s="28">
        <f t="shared" si="0"/>
        <v>347520</v>
      </c>
      <c r="J45" s="29">
        <f t="shared" si="1"/>
        <v>236200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 spans="1:24" ht="15.75" customHeight="1" x14ac:dyDescent="0.25">
      <c r="A46" s="33"/>
      <c r="B46" s="27" t="s">
        <v>60</v>
      </c>
      <c r="C46" s="28">
        <v>82000</v>
      </c>
      <c r="D46" s="29">
        <f t="shared" si="4"/>
        <v>65600</v>
      </c>
      <c r="E46" s="28">
        <f t="shared" si="7"/>
        <v>91760</v>
      </c>
      <c r="F46" s="28">
        <f t="shared" si="2"/>
        <v>73400</v>
      </c>
      <c r="G46" s="28">
        <v>65600</v>
      </c>
      <c r="H46" s="29">
        <f t="shared" si="3"/>
        <v>52500</v>
      </c>
      <c r="I46" s="28">
        <f t="shared" si="0"/>
        <v>347520</v>
      </c>
      <c r="J46" s="29">
        <f t="shared" si="1"/>
        <v>236200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spans="1:24" ht="15.75" customHeight="1" x14ac:dyDescent="0.25">
      <c r="A47" s="33"/>
      <c r="B47" s="27" t="s">
        <v>61</v>
      </c>
      <c r="C47" s="28">
        <v>94500</v>
      </c>
      <c r="D47" s="29">
        <f t="shared" si="4"/>
        <v>75600</v>
      </c>
      <c r="E47" s="28">
        <f t="shared" ref="E47" si="10">75600+26160</f>
        <v>101760</v>
      </c>
      <c r="F47" s="28">
        <f t="shared" si="2"/>
        <v>81400</v>
      </c>
      <c r="G47" s="28">
        <v>75600</v>
      </c>
      <c r="H47" s="29">
        <f t="shared" si="3"/>
        <v>60500</v>
      </c>
      <c r="I47" s="28">
        <f t="shared" si="0"/>
        <v>392520</v>
      </c>
      <c r="J47" s="29">
        <f t="shared" si="1"/>
        <v>272200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spans="1:24" s="36" customFormat="1" ht="15.75" customHeight="1" x14ac:dyDescent="0.25">
      <c r="A48" s="33"/>
      <c r="B48" s="27" t="s">
        <v>62</v>
      </c>
      <c r="C48" s="28">
        <v>82000</v>
      </c>
      <c r="D48" s="29">
        <f t="shared" si="4"/>
        <v>65600</v>
      </c>
      <c r="E48" s="28">
        <f t="shared" si="7"/>
        <v>91760</v>
      </c>
      <c r="F48" s="28">
        <f t="shared" si="2"/>
        <v>73400</v>
      </c>
      <c r="G48" s="28">
        <v>65600</v>
      </c>
      <c r="H48" s="29">
        <f t="shared" si="3"/>
        <v>52500</v>
      </c>
      <c r="I48" s="28">
        <f t="shared" si="0"/>
        <v>347520</v>
      </c>
      <c r="J48" s="29">
        <f t="shared" si="1"/>
        <v>236200</v>
      </c>
      <c r="K48" s="30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</row>
    <row r="49" spans="1:24" ht="15.75" customHeight="1" x14ac:dyDescent="0.25">
      <c r="A49" s="33"/>
      <c r="B49" s="27" t="s">
        <v>63</v>
      </c>
      <c r="C49" s="28">
        <v>82000</v>
      </c>
      <c r="D49" s="29">
        <f t="shared" si="4"/>
        <v>65600</v>
      </c>
      <c r="E49" s="28">
        <f t="shared" si="7"/>
        <v>91760</v>
      </c>
      <c r="F49" s="28">
        <f t="shared" si="2"/>
        <v>73400</v>
      </c>
      <c r="G49" s="28">
        <v>65600</v>
      </c>
      <c r="H49" s="29">
        <f t="shared" si="3"/>
        <v>52500</v>
      </c>
      <c r="I49" s="28">
        <f t="shared" si="0"/>
        <v>347520</v>
      </c>
      <c r="J49" s="29">
        <f t="shared" si="1"/>
        <v>236200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spans="1:24" ht="15.75" customHeight="1" x14ac:dyDescent="0.25">
      <c r="A50" s="34"/>
      <c r="B50" s="27" t="s">
        <v>64</v>
      </c>
      <c r="C50" s="28">
        <v>82000</v>
      </c>
      <c r="D50" s="29">
        <f t="shared" si="4"/>
        <v>65600</v>
      </c>
      <c r="E50" s="28">
        <f t="shared" si="7"/>
        <v>91760</v>
      </c>
      <c r="F50" s="28">
        <f t="shared" si="2"/>
        <v>73400</v>
      </c>
      <c r="G50" s="28">
        <v>65600</v>
      </c>
      <c r="H50" s="29">
        <f t="shared" si="3"/>
        <v>52500</v>
      </c>
      <c r="I50" s="28">
        <f t="shared" si="0"/>
        <v>347520</v>
      </c>
      <c r="J50" s="29">
        <f t="shared" si="1"/>
        <v>236200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spans="1:24" ht="15.75" customHeight="1" x14ac:dyDescent="0.25">
      <c r="A51" s="31" t="s">
        <v>65</v>
      </c>
      <c r="B51" s="27" t="s">
        <v>66</v>
      </c>
      <c r="C51" s="28">
        <v>82000</v>
      </c>
      <c r="D51" s="29">
        <f t="shared" si="4"/>
        <v>65600</v>
      </c>
      <c r="E51" s="28">
        <f t="shared" si="7"/>
        <v>91760</v>
      </c>
      <c r="F51" s="28">
        <f t="shared" si="2"/>
        <v>73400</v>
      </c>
      <c r="G51" s="28">
        <v>65600</v>
      </c>
      <c r="H51" s="29">
        <f t="shared" si="3"/>
        <v>52500</v>
      </c>
      <c r="I51" s="28">
        <f t="shared" si="0"/>
        <v>347520</v>
      </c>
      <c r="J51" s="29">
        <f t="shared" si="1"/>
        <v>236200</v>
      </c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</row>
    <row r="52" spans="1:24" ht="15.75" customHeight="1" x14ac:dyDescent="0.25">
      <c r="A52" s="34"/>
      <c r="B52" s="27" t="s">
        <v>67</v>
      </c>
      <c r="C52" s="28">
        <v>94500</v>
      </c>
      <c r="D52" s="29">
        <f t="shared" si="4"/>
        <v>75600</v>
      </c>
      <c r="E52" s="28">
        <f t="shared" ref="E52" si="11">75600+26160</f>
        <v>101760</v>
      </c>
      <c r="F52" s="28">
        <f t="shared" si="2"/>
        <v>81400</v>
      </c>
      <c r="G52" s="28">
        <v>75600</v>
      </c>
      <c r="H52" s="29">
        <f t="shared" si="3"/>
        <v>60500</v>
      </c>
      <c r="I52" s="28">
        <f t="shared" si="0"/>
        <v>392520</v>
      </c>
      <c r="J52" s="29">
        <f t="shared" si="1"/>
        <v>272200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spans="1:24" ht="15.75" customHeight="1" x14ac:dyDescent="0.25">
      <c r="B53" s="37"/>
      <c r="C53" s="38"/>
      <c r="D53" s="38"/>
      <c r="E53" s="30"/>
      <c r="F53" s="30"/>
      <c r="G53" s="30"/>
      <c r="H53" s="38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 spans="1:24" ht="15.75" customHeight="1" x14ac:dyDescent="0.25">
      <c r="B54" s="39"/>
      <c r="C54" s="40"/>
      <c r="D54" s="40"/>
      <c r="E54" s="6"/>
      <c r="F54" s="6"/>
      <c r="G54" s="6"/>
      <c r="H54" s="40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75" customHeight="1" x14ac:dyDescent="0.25">
      <c r="B55" s="39"/>
      <c r="C55" s="40"/>
      <c r="D55" s="40"/>
      <c r="E55" s="6"/>
      <c r="F55" s="6"/>
      <c r="G55" s="6"/>
      <c r="H55" s="40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75" customHeight="1" x14ac:dyDescent="0.25">
      <c r="B56" s="39"/>
      <c r="C56" s="40"/>
      <c r="D56" s="40"/>
      <c r="E56" s="6"/>
      <c r="F56" s="6"/>
      <c r="G56" s="6"/>
      <c r="H56" s="40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75" customHeight="1" x14ac:dyDescent="0.25">
      <c r="B57" s="39"/>
      <c r="C57" s="40"/>
      <c r="D57" s="40"/>
      <c r="E57" s="6"/>
      <c r="F57" s="6"/>
      <c r="G57" s="6"/>
      <c r="H57" s="40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75" customHeight="1" x14ac:dyDescent="0.25">
      <c r="B58" s="39"/>
      <c r="C58" s="40"/>
      <c r="D58" s="40"/>
      <c r="E58" s="6"/>
      <c r="F58" s="6"/>
      <c r="G58" s="6"/>
      <c r="H58" s="40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75" customHeight="1" x14ac:dyDescent="0.25">
      <c r="B59" s="39"/>
      <c r="C59" s="40"/>
      <c r="D59" s="40"/>
      <c r="E59" s="6"/>
      <c r="F59" s="6"/>
      <c r="G59" s="6"/>
      <c r="H59" s="40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75" customHeight="1" x14ac:dyDescent="0.25">
      <c r="B60" s="39"/>
      <c r="C60" s="40"/>
      <c r="D60" s="40"/>
      <c r="E60" s="6"/>
      <c r="F60" s="6"/>
      <c r="G60" s="6"/>
      <c r="H60" s="4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75" customHeight="1" x14ac:dyDescent="0.25">
      <c r="B61" s="39"/>
      <c r="C61" s="40"/>
      <c r="D61" s="40"/>
      <c r="E61" s="6"/>
      <c r="F61" s="6"/>
      <c r="G61" s="6"/>
      <c r="H61" s="40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75" customHeight="1" x14ac:dyDescent="0.25">
      <c r="B62" s="39"/>
      <c r="C62" s="40"/>
      <c r="D62" s="40"/>
      <c r="E62" s="6"/>
      <c r="F62" s="6"/>
      <c r="G62" s="6"/>
      <c r="H62" s="40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75" customHeight="1" x14ac:dyDescent="0.25">
      <c r="B63" s="39"/>
      <c r="C63" s="40"/>
      <c r="D63" s="40"/>
      <c r="E63" s="6"/>
      <c r="F63" s="6"/>
      <c r="G63" s="6"/>
      <c r="H63" s="40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75" customHeight="1" x14ac:dyDescent="0.25">
      <c r="B64" s="39"/>
      <c r="C64" s="40"/>
      <c r="D64" s="40"/>
      <c r="E64" s="6"/>
      <c r="F64" s="6"/>
      <c r="G64" s="6"/>
      <c r="H64" s="40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2:24" ht="15.75" customHeight="1" x14ac:dyDescent="0.25">
      <c r="B65" s="39"/>
      <c r="C65" s="40"/>
      <c r="D65" s="40"/>
      <c r="E65" s="6"/>
      <c r="F65" s="6"/>
      <c r="G65" s="6"/>
      <c r="H65" s="40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2:24" ht="15.75" customHeight="1" x14ac:dyDescent="0.25">
      <c r="B66" s="39"/>
      <c r="C66" s="40"/>
      <c r="D66" s="40"/>
      <c r="E66" s="6"/>
      <c r="F66" s="6"/>
      <c r="G66" s="6"/>
      <c r="H66" s="40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2:24" ht="15.75" customHeight="1" x14ac:dyDescent="0.25">
      <c r="B67" s="39"/>
      <c r="C67" s="40"/>
      <c r="D67" s="40"/>
      <c r="E67" s="6"/>
      <c r="F67" s="6"/>
      <c r="G67" s="6"/>
      <c r="H67" s="40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2:24" ht="15.75" customHeight="1" x14ac:dyDescent="0.25">
      <c r="B68" s="39"/>
      <c r="C68" s="40"/>
      <c r="D68" s="40"/>
      <c r="E68" s="6"/>
      <c r="F68" s="6"/>
      <c r="G68" s="6"/>
      <c r="H68" s="40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2:24" ht="15.75" customHeight="1" x14ac:dyDescent="0.25">
      <c r="B69" s="39"/>
      <c r="C69" s="40"/>
      <c r="D69" s="40"/>
      <c r="E69" s="6"/>
      <c r="F69" s="6"/>
      <c r="G69" s="6"/>
      <c r="H69" s="40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2:24" ht="15.75" customHeight="1" x14ac:dyDescent="0.25">
      <c r="B70" s="39"/>
      <c r="C70" s="40"/>
      <c r="D70" s="40"/>
      <c r="E70" s="6"/>
      <c r="F70" s="6"/>
      <c r="G70" s="6"/>
      <c r="H70" s="40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2:24" ht="15.75" customHeight="1" x14ac:dyDescent="0.25">
      <c r="B71" s="39"/>
      <c r="C71" s="40"/>
      <c r="D71" s="40"/>
      <c r="E71" s="6"/>
      <c r="F71" s="6"/>
      <c r="G71" s="6"/>
      <c r="H71" s="40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2:24" ht="15.75" customHeight="1" x14ac:dyDescent="0.25">
      <c r="B72" s="39"/>
      <c r="C72" s="40"/>
      <c r="D72" s="40"/>
      <c r="E72" s="6"/>
      <c r="F72" s="6"/>
      <c r="G72" s="6"/>
      <c r="H72" s="40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2:24" ht="15.75" customHeight="1" x14ac:dyDescent="0.25">
      <c r="B73" s="39"/>
      <c r="C73" s="40"/>
      <c r="D73" s="40"/>
      <c r="E73" s="6"/>
      <c r="F73" s="6"/>
      <c r="G73" s="6"/>
      <c r="H73" s="40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2:24" ht="15.75" customHeight="1" x14ac:dyDescent="0.25">
      <c r="B74" s="39"/>
      <c r="C74" s="40"/>
      <c r="D74" s="40"/>
      <c r="E74" s="6"/>
      <c r="F74" s="6"/>
      <c r="G74" s="6"/>
      <c r="H74" s="40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2:24" ht="15.75" customHeight="1" x14ac:dyDescent="0.25">
      <c r="B75" s="39"/>
      <c r="C75" s="40"/>
      <c r="D75" s="40"/>
      <c r="E75" s="6"/>
      <c r="F75" s="6"/>
      <c r="G75" s="6"/>
      <c r="H75" s="40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2:24" ht="15.75" customHeight="1" x14ac:dyDescent="0.25">
      <c r="B76" s="39"/>
      <c r="C76" s="40"/>
      <c r="D76" s="40"/>
      <c r="E76" s="6"/>
      <c r="F76" s="6"/>
      <c r="G76" s="6"/>
      <c r="H76" s="40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2:24" ht="15.75" customHeight="1" x14ac:dyDescent="0.25">
      <c r="B77" s="39"/>
      <c r="C77" s="40"/>
      <c r="D77" s="40"/>
      <c r="E77" s="6"/>
      <c r="F77" s="6"/>
      <c r="G77" s="6"/>
      <c r="H77" s="40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2:24" ht="15.75" customHeight="1" x14ac:dyDescent="0.25">
      <c r="B78" s="39"/>
      <c r="C78" s="40"/>
      <c r="D78" s="40"/>
      <c r="E78" s="6"/>
      <c r="F78" s="6"/>
      <c r="G78" s="6"/>
      <c r="H78" s="40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2:24" ht="15.75" customHeight="1" x14ac:dyDescent="0.25">
      <c r="B79" s="39"/>
      <c r="C79" s="40"/>
      <c r="D79" s="40"/>
      <c r="E79" s="6"/>
      <c r="F79" s="6"/>
      <c r="G79" s="6"/>
      <c r="H79" s="40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2:24" ht="15.75" customHeight="1" x14ac:dyDescent="0.25">
      <c r="B80" s="39"/>
      <c r="C80" s="40"/>
      <c r="D80" s="40"/>
      <c r="E80" s="6"/>
      <c r="F80" s="6"/>
      <c r="G80" s="6"/>
      <c r="H80" s="40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2:24" ht="15.75" customHeight="1" x14ac:dyDescent="0.25">
      <c r="B81" s="39"/>
      <c r="C81" s="40"/>
      <c r="D81" s="40"/>
      <c r="E81" s="6"/>
      <c r="F81" s="6"/>
      <c r="G81" s="6"/>
      <c r="H81" s="40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2:24" ht="15.75" customHeight="1" x14ac:dyDescent="0.25">
      <c r="B82" s="39"/>
      <c r="C82" s="40"/>
      <c r="D82" s="40"/>
      <c r="E82" s="6"/>
      <c r="F82" s="6"/>
      <c r="G82" s="6"/>
      <c r="H82" s="40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2:24" ht="15.75" customHeight="1" x14ac:dyDescent="0.25">
      <c r="B83" s="39"/>
      <c r="C83" s="40"/>
      <c r="D83" s="40"/>
      <c r="E83" s="6"/>
      <c r="F83" s="6"/>
      <c r="G83" s="6"/>
      <c r="H83" s="40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2:24" ht="15.75" customHeight="1" x14ac:dyDescent="0.25">
      <c r="B84" s="39"/>
      <c r="C84" s="40"/>
      <c r="D84" s="40"/>
      <c r="E84" s="6"/>
      <c r="F84" s="6"/>
      <c r="G84" s="6"/>
      <c r="H84" s="40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2:24" ht="15.75" customHeight="1" x14ac:dyDescent="0.25">
      <c r="B85" s="39"/>
      <c r="C85" s="40"/>
      <c r="D85" s="40"/>
      <c r="E85" s="6"/>
      <c r="F85" s="6"/>
      <c r="G85" s="6"/>
      <c r="H85" s="40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2:24" ht="15.75" customHeight="1" x14ac:dyDescent="0.25">
      <c r="B86" s="39"/>
      <c r="C86" s="40"/>
      <c r="D86" s="40"/>
      <c r="E86" s="6"/>
      <c r="F86" s="6"/>
      <c r="G86" s="6"/>
      <c r="H86" s="40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2:24" ht="15.75" customHeight="1" x14ac:dyDescent="0.25">
      <c r="B87" s="39"/>
      <c r="C87" s="40"/>
      <c r="D87" s="40"/>
      <c r="E87" s="6"/>
      <c r="F87" s="6"/>
      <c r="G87" s="6"/>
      <c r="H87" s="40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2:24" ht="15.75" customHeight="1" x14ac:dyDescent="0.25">
      <c r="B88" s="39"/>
      <c r="C88" s="40"/>
      <c r="D88" s="40"/>
      <c r="E88" s="6"/>
      <c r="F88" s="6"/>
      <c r="G88" s="6"/>
      <c r="H88" s="40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2:24" ht="15.75" customHeight="1" x14ac:dyDescent="0.25">
      <c r="B89" s="39"/>
      <c r="C89" s="40"/>
      <c r="D89" s="40"/>
      <c r="E89" s="6"/>
      <c r="F89" s="6"/>
      <c r="G89" s="6"/>
      <c r="H89" s="40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2:24" ht="15.75" customHeight="1" x14ac:dyDescent="0.25">
      <c r="B90" s="39"/>
      <c r="C90" s="40"/>
      <c r="D90" s="40"/>
      <c r="E90" s="6"/>
      <c r="F90" s="6"/>
      <c r="G90" s="6"/>
      <c r="H90" s="40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2:24" ht="15.75" customHeight="1" x14ac:dyDescent="0.25">
      <c r="B91" s="39"/>
      <c r="C91" s="40"/>
      <c r="D91" s="40"/>
      <c r="E91" s="6"/>
      <c r="F91" s="6"/>
      <c r="G91" s="6"/>
      <c r="H91" s="40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2:24" ht="15.75" customHeight="1" x14ac:dyDescent="0.25">
      <c r="B92" s="39"/>
      <c r="C92" s="40"/>
      <c r="D92" s="40"/>
      <c r="E92" s="6"/>
      <c r="F92" s="6"/>
      <c r="G92" s="6"/>
      <c r="H92" s="40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2:24" ht="15.75" customHeight="1" x14ac:dyDescent="0.25">
      <c r="B93" s="39"/>
      <c r="C93" s="40"/>
      <c r="D93" s="40"/>
      <c r="E93" s="6"/>
      <c r="F93" s="6"/>
      <c r="G93" s="6"/>
      <c r="H93" s="40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2:24" ht="15.75" customHeight="1" x14ac:dyDescent="0.25">
      <c r="B94" s="39"/>
      <c r="C94" s="40"/>
      <c r="D94" s="40"/>
      <c r="E94" s="6"/>
      <c r="F94" s="6"/>
      <c r="G94" s="6"/>
      <c r="H94" s="40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2:24" ht="15.75" customHeight="1" x14ac:dyDescent="0.25">
      <c r="B95" s="39"/>
      <c r="C95" s="40"/>
      <c r="D95" s="40"/>
      <c r="E95" s="6"/>
      <c r="F95" s="6"/>
      <c r="G95" s="6"/>
      <c r="H95" s="40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2:24" ht="15.75" customHeight="1" x14ac:dyDescent="0.25">
      <c r="B96" s="39"/>
      <c r="C96" s="40"/>
      <c r="D96" s="40"/>
      <c r="E96" s="6"/>
      <c r="F96" s="6"/>
      <c r="G96" s="6"/>
      <c r="H96" s="40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2:24" ht="15.75" customHeight="1" x14ac:dyDescent="0.25">
      <c r="B97" s="39"/>
      <c r="C97" s="40"/>
      <c r="D97" s="40"/>
      <c r="E97" s="6"/>
      <c r="F97" s="6"/>
      <c r="G97" s="6"/>
      <c r="H97" s="40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2:24" ht="15.75" customHeight="1" x14ac:dyDescent="0.25">
      <c r="B98" s="39"/>
      <c r="C98" s="40"/>
      <c r="D98" s="40"/>
      <c r="E98" s="6"/>
      <c r="F98" s="6"/>
      <c r="G98" s="6"/>
      <c r="H98" s="40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2:24" ht="15.75" customHeight="1" x14ac:dyDescent="0.25">
      <c r="B99" s="39"/>
      <c r="C99" s="40"/>
      <c r="D99" s="40"/>
      <c r="E99" s="6"/>
      <c r="F99" s="6"/>
      <c r="G99" s="6"/>
      <c r="H99" s="40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2:24" ht="15.75" customHeight="1" x14ac:dyDescent="0.25">
      <c r="B100" s="39"/>
      <c r="C100" s="40"/>
      <c r="D100" s="40"/>
      <c r="E100" s="6"/>
      <c r="F100" s="6"/>
      <c r="G100" s="6"/>
      <c r="H100" s="40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2:24" ht="15.75" customHeight="1" x14ac:dyDescent="0.25">
      <c r="B101" s="39"/>
      <c r="C101" s="40"/>
      <c r="D101" s="40"/>
      <c r="E101" s="6"/>
      <c r="F101" s="6"/>
      <c r="G101" s="6"/>
      <c r="H101" s="40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2:24" ht="15.75" customHeight="1" x14ac:dyDescent="0.25">
      <c r="B102" s="39"/>
      <c r="C102" s="40"/>
      <c r="D102" s="40"/>
      <c r="E102" s="6"/>
      <c r="F102" s="6"/>
      <c r="G102" s="6"/>
      <c r="H102" s="40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2:24" ht="15.75" customHeight="1" x14ac:dyDescent="0.25">
      <c r="B103" s="39"/>
      <c r="C103" s="40"/>
      <c r="D103" s="40"/>
      <c r="E103" s="6"/>
      <c r="F103" s="6"/>
      <c r="G103" s="6"/>
      <c r="H103" s="40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2:24" ht="15.75" customHeight="1" x14ac:dyDescent="0.25">
      <c r="B104" s="39"/>
      <c r="C104" s="40"/>
      <c r="D104" s="40"/>
      <c r="E104" s="6"/>
      <c r="F104" s="6"/>
      <c r="G104" s="6"/>
      <c r="H104" s="40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2:24" ht="15.75" customHeight="1" x14ac:dyDescent="0.25">
      <c r="B105" s="39"/>
      <c r="C105" s="40"/>
      <c r="D105" s="40"/>
      <c r="E105" s="6"/>
      <c r="F105" s="6"/>
      <c r="G105" s="6"/>
      <c r="H105" s="40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2:24" ht="15.75" customHeight="1" x14ac:dyDescent="0.25">
      <c r="B106" s="39"/>
      <c r="C106" s="40"/>
      <c r="D106" s="40"/>
      <c r="E106" s="6"/>
      <c r="F106" s="6"/>
      <c r="G106" s="6"/>
      <c r="H106" s="40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2:24" ht="15.75" customHeight="1" x14ac:dyDescent="0.25">
      <c r="B107" s="39"/>
      <c r="C107" s="40"/>
      <c r="D107" s="40"/>
      <c r="E107" s="6"/>
      <c r="F107" s="6"/>
      <c r="G107" s="6"/>
      <c r="H107" s="40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2:24" ht="15.75" customHeight="1" x14ac:dyDescent="0.25">
      <c r="B108" s="39"/>
      <c r="C108" s="40"/>
      <c r="D108" s="40"/>
      <c r="E108" s="6"/>
      <c r="F108" s="6"/>
      <c r="G108" s="6"/>
      <c r="H108" s="40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2:24" ht="15.75" customHeight="1" x14ac:dyDescent="0.25">
      <c r="B109" s="39"/>
      <c r="C109" s="40"/>
      <c r="D109" s="40"/>
      <c r="E109" s="6"/>
      <c r="F109" s="6"/>
      <c r="G109" s="6"/>
      <c r="H109" s="40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2:24" ht="15.75" customHeight="1" x14ac:dyDescent="0.25">
      <c r="B110" s="39"/>
      <c r="C110" s="40"/>
      <c r="D110" s="40"/>
      <c r="E110" s="6"/>
      <c r="F110" s="6"/>
      <c r="G110" s="6"/>
      <c r="H110" s="40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2:24" ht="15.75" customHeight="1" x14ac:dyDescent="0.25">
      <c r="B111" s="39"/>
      <c r="C111" s="40"/>
      <c r="D111" s="40"/>
      <c r="E111" s="6"/>
      <c r="F111" s="6"/>
      <c r="G111" s="6"/>
      <c r="H111" s="40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2:24" ht="15.75" customHeight="1" x14ac:dyDescent="0.25">
      <c r="B112" s="39"/>
      <c r="C112" s="40"/>
      <c r="D112" s="40"/>
      <c r="E112" s="6"/>
      <c r="F112" s="6"/>
      <c r="G112" s="6"/>
      <c r="H112" s="40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2:24" ht="15.75" customHeight="1" x14ac:dyDescent="0.25">
      <c r="B113" s="39"/>
      <c r="C113" s="40"/>
      <c r="D113" s="40"/>
      <c r="E113" s="6"/>
      <c r="F113" s="6"/>
      <c r="G113" s="6"/>
      <c r="H113" s="40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2:24" ht="15.75" customHeight="1" x14ac:dyDescent="0.25">
      <c r="B114" s="39"/>
      <c r="C114" s="40"/>
      <c r="D114" s="40"/>
      <c r="E114" s="6"/>
      <c r="F114" s="6"/>
      <c r="G114" s="6"/>
      <c r="H114" s="40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2:24" ht="15.75" customHeight="1" x14ac:dyDescent="0.25">
      <c r="B115" s="39"/>
      <c r="C115" s="40"/>
      <c r="D115" s="40"/>
      <c r="E115" s="6"/>
      <c r="F115" s="6"/>
      <c r="G115" s="6"/>
      <c r="H115" s="40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2:24" ht="15.75" customHeight="1" x14ac:dyDescent="0.25">
      <c r="B116" s="39"/>
      <c r="C116" s="40"/>
      <c r="D116" s="40"/>
      <c r="E116" s="6"/>
      <c r="F116" s="6"/>
      <c r="G116" s="6"/>
      <c r="H116" s="40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2:24" ht="15.75" customHeight="1" x14ac:dyDescent="0.25">
      <c r="B117" s="39"/>
      <c r="C117" s="40"/>
      <c r="D117" s="40"/>
      <c r="E117" s="6"/>
      <c r="F117" s="6"/>
      <c r="G117" s="6"/>
      <c r="H117" s="40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2:24" ht="15.75" customHeight="1" x14ac:dyDescent="0.25">
      <c r="B118" s="39"/>
      <c r="C118" s="40"/>
      <c r="D118" s="40"/>
      <c r="E118" s="6"/>
      <c r="F118" s="6"/>
      <c r="G118" s="6"/>
      <c r="H118" s="40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2:24" ht="15.75" customHeight="1" x14ac:dyDescent="0.25">
      <c r="B119" s="39"/>
      <c r="C119" s="40"/>
      <c r="D119" s="40"/>
      <c r="E119" s="6"/>
      <c r="F119" s="6"/>
      <c r="G119" s="6"/>
      <c r="H119" s="40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2:24" ht="15.75" customHeight="1" x14ac:dyDescent="0.25">
      <c r="B120" s="39"/>
      <c r="C120" s="40"/>
      <c r="D120" s="40"/>
      <c r="E120" s="6"/>
      <c r="F120" s="6"/>
      <c r="G120" s="6"/>
      <c r="H120" s="40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2:24" ht="15.75" customHeight="1" x14ac:dyDescent="0.25">
      <c r="B121" s="39"/>
      <c r="C121" s="40"/>
      <c r="D121" s="40"/>
      <c r="E121" s="6"/>
      <c r="F121" s="6"/>
      <c r="G121" s="6"/>
      <c r="H121" s="40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2:24" ht="15.75" customHeight="1" x14ac:dyDescent="0.25">
      <c r="B122" s="39"/>
      <c r="C122" s="40"/>
      <c r="D122" s="40"/>
      <c r="E122" s="6"/>
      <c r="F122" s="6"/>
      <c r="G122" s="6"/>
      <c r="H122" s="40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2:24" ht="15.75" customHeight="1" x14ac:dyDescent="0.25">
      <c r="B123" s="39"/>
      <c r="C123" s="40"/>
      <c r="D123" s="40"/>
      <c r="E123" s="6"/>
      <c r="F123" s="6"/>
      <c r="G123" s="6"/>
      <c r="H123" s="40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2:24" ht="15.75" customHeight="1" x14ac:dyDescent="0.25">
      <c r="B124" s="39"/>
      <c r="C124" s="40"/>
      <c r="D124" s="40"/>
      <c r="E124" s="6"/>
      <c r="F124" s="6"/>
      <c r="G124" s="6"/>
      <c r="H124" s="40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2:24" ht="15.75" customHeight="1" x14ac:dyDescent="0.25">
      <c r="B125" s="39"/>
      <c r="C125" s="40"/>
      <c r="D125" s="40"/>
      <c r="E125" s="6"/>
      <c r="F125" s="6"/>
      <c r="G125" s="6"/>
      <c r="H125" s="40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2:24" ht="15.75" customHeight="1" x14ac:dyDescent="0.25">
      <c r="B126" s="39"/>
      <c r="C126" s="40"/>
      <c r="D126" s="40"/>
      <c r="E126" s="6"/>
      <c r="F126" s="6"/>
      <c r="G126" s="6"/>
      <c r="H126" s="40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2:24" ht="15.75" customHeight="1" x14ac:dyDescent="0.25">
      <c r="B127" s="39"/>
      <c r="C127" s="40"/>
      <c r="D127" s="40"/>
      <c r="E127" s="6"/>
      <c r="F127" s="6"/>
      <c r="G127" s="6"/>
      <c r="H127" s="40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2:24" ht="15.75" customHeight="1" x14ac:dyDescent="0.25">
      <c r="B128" s="39"/>
      <c r="C128" s="40"/>
      <c r="D128" s="40"/>
      <c r="E128" s="6"/>
      <c r="F128" s="6"/>
      <c r="G128" s="6"/>
      <c r="H128" s="40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2:24" ht="15.75" customHeight="1" x14ac:dyDescent="0.25">
      <c r="B129" s="39"/>
      <c r="C129" s="40"/>
      <c r="D129" s="40"/>
      <c r="E129" s="6"/>
      <c r="F129" s="6"/>
      <c r="G129" s="6"/>
      <c r="H129" s="40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2:24" ht="15.75" customHeight="1" x14ac:dyDescent="0.25">
      <c r="B130" s="39"/>
      <c r="C130" s="40"/>
      <c r="D130" s="40"/>
      <c r="E130" s="6"/>
      <c r="F130" s="6"/>
      <c r="G130" s="6"/>
      <c r="H130" s="40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2:24" ht="15.75" customHeight="1" x14ac:dyDescent="0.25">
      <c r="B131" s="39"/>
      <c r="C131" s="40"/>
      <c r="D131" s="40"/>
      <c r="E131" s="6"/>
      <c r="F131" s="6"/>
      <c r="G131" s="6"/>
      <c r="H131" s="40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2:24" ht="15.75" customHeight="1" x14ac:dyDescent="0.25">
      <c r="B132" s="39"/>
      <c r="C132" s="40"/>
      <c r="D132" s="40"/>
      <c r="E132" s="6"/>
      <c r="F132" s="6"/>
      <c r="G132" s="6"/>
      <c r="H132" s="40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2:24" ht="15.75" customHeight="1" x14ac:dyDescent="0.25">
      <c r="B133" s="39"/>
      <c r="C133" s="40"/>
      <c r="D133" s="40"/>
      <c r="E133" s="6"/>
      <c r="F133" s="6"/>
      <c r="G133" s="6"/>
      <c r="H133" s="40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2:24" ht="15.75" customHeight="1" x14ac:dyDescent="0.25">
      <c r="B134" s="39"/>
      <c r="C134" s="40"/>
      <c r="D134" s="40"/>
      <c r="E134" s="6"/>
      <c r="F134" s="6"/>
      <c r="G134" s="6"/>
      <c r="H134" s="40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2:24" ht="15.75" customHeight="1" x14ac:dyDescent="0.25">
      <c r="B135" s="39"/>
      <c r="C135" s="40"/>
      <c r="D135" s="40"/>
      <c r="E135" s="6"/>
      <c r="F135" s="6"/>
      <c r="G135" s="6"/>
      <c r="H135" s="40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2:24" ht="15.75" customHeight="1" x14ac:dyDescent="0.25">
      <c r="B136" s="39"/>
      <c r="C136" s="40"/>
      <c r="D136" s="40"/>
      <c r="E136" s="6"/>
      <c r="F136" s="6"/>
      <c r="G136" s="6"/>
      <c r="H136" s="40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2:24" ht="15.75" customHeight="1" x14ac:dyDescent="0.25">
      <c r="B137" s="39"/>
      <c r="C137" s="40"/>
      <c r="D137" s="40"/>
      <c r="E137" s="6"/>
      <c r="F137" s="6"/>
      <c r="G137" s="6"/>
      <c r="H137" s="40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2:24" ht="15.75" customHeight="1" x14ac:dyDescent="0.25">
      <c r="B138" s="39"/>
      <c r="C138" s="40"/>
      <c r="D138" s="40"/>
      <c r="E138" s="6"/>
      <c r="F138" s="6"/>
      <c r="G138" s="6"/>
      <c r="H138" s="40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2:24" ht="15.75" customHeight="1" x14ac:dyDescent="0.25">
      <c r="B139" s="39"/>
      <c r="C139" s="40"/>
      <c r="D139" s="40"/>
      <c r="E139" s="6"/>
      <c r="F139" s="6"/>
      <c r="G139" s="6"/>
      <c r="H139" s="40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2:24" ht="15.75" customHeight="1" x14ac:dyDescent="0.25">
      <c r="B140" s="39"/>
      <c r="C140" s="40"/>
      <c r="D140" s="40"/>
      <c r="E140" s="6"/>
      <c r="F140" s="6"/>
      <c r="G140" s="6"/>
      <c r="H140" s="40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2:24" ht="15.75" customHeight="1" x14ac:dyDescent="0.25">
      <c r="B141" s="39"/>
      <c r="C141" s="40"/>
      <c r="D141" s="40"/>
      <c r="E141" s="6"/>
      <c r="F141" s="6"/>
      <c r="G141" s="6"/>
      <c r="H141" s="40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2:24" ht="15.75" customHeight="1" x14ac:dyDescent="0.25">
      <c r="B142" s="39"/>
      <c r="C142" s="40"/>
      <c r="D142" s="40"/>
      <c r="E142" s="6"/>
      <c r="F142" s="6"/>
      <c r="G142" s="6"/>
      <c r="H142" s="40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2:24" ht="15.75" customHeight="1" x14ac:dyDescent="0.25">
      <c r="B143" s="39"/>
      <c r="C143" s="40"/>
      <c r="D143" s="40"/>
      <c r="E143" s="6"/>
      <c r="F143" s="6"/>
      <c r="G143" s="6"/>
      <c r="H143" s="40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2:24" ht="15.75" customHeight="1" x14ac:dyDescent="0.25">
      <c r="B144" s="39"/>
      <c r="C144" s="40"/>
      <c r="D144" s="40"/>
      <c r="E144" s="6"/>
      <c r="F144" s="6"/>
      <c r="G144" s="6"/>
      <c r="H144" s="40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2:24" ht="15.75" customHeight="1" x14ac:dyDescent="0.25">
      <c r="B145" s="39"/>
      <c r="C145" s="40"/>
      <c r="D145" s="40"/>
      <c r="E145" s="6"/>
      <c r="F145" s="6"/>
      <c r="G145" s="6"/>
      <c r="H145" s="40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2:24" ht="15.75" customHeight="1" x14ac:dyDescent="0.25">
      <c r="B146" s="39"/>
      <c r="C146" s="40"/>
      <c r="D146" s="40"/>
      <c r="E146" s="6"/>
      <c r="F146" s="6"/>
      <c r="G146" s="6"/>
      <c r="H146" s="40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2:24" ht="15.75" customHeight="1" x14ac:dyDescent="0.25">
      <c r="B147" s="39"/>
      <c r="C147" s="40"/>
      <c r="D147" s="40"/>
      <c r="E147" s="6"/>
      <c r="F147" s="6"/>
      <c r="G147" s="6"/>
      <c r="H147" s="40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2:24" ht="15.75" customHeight="1" x14ac:dyDescent="0.25">
      <c r="B148" s="39"/>
      <c r="C148" s="40"/>
      <c r="D148" s="40"/>
      <c r="E148" s="6"/>
      <c r="F148" s="6"/>
      <c r="G148" s="6"/>
      <c r="H148" s="40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2:24" ht="15.75" customHeight="1" x14ac:dyDescent="0.25">
      <c r="B149" s="39"/>
      <c r="C149" s="40"/>
      <c r="D149" s="40"/>
      <c r="E149" s="6"/>
      <c r="F149" s="6"/>
      <c r="G149" s="6"/>
      <c r="H149" s="40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2:24" ht="15.75" customHeight="1" x14ac:dyDescent="0.25">
      <c r="B150" s="39"/>
      <c r="C150" s="40"/>
      <c r="D150" s="40"/>
      <c r="E150" s="6"/>
      <c r="F150" s="6"/>
      <c r="G150" s="6"/>
      <c r="H150" s="40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2:24" ht="15.75" customHeight="1" x14ac:dyDescent="0.25">
      <c r="B151" s="39"/>
      <c r="C151" s="40"/>
      <c r="D151" s="40"/>
      <c r="E151" s="6"/>
      <c r="F151" s="6"/>
      <c r="G151" s="6"/>
      <c r="H151" s="40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2:24" ht="15.75" customHeight="1" x14ac:dyDescent="0.25">
      <c r="B152" s="39"/>
      <c r="C152" s="40"/>
      <c r="D152" s="40"/>
      <c r="E152" s="6"/>
      <c r="F152" s="6"/>
      <c r="G152" s="6"/>
      <c r="H152" s="40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2:24" ht="15.75" customHeight="1" x14ac:dyDescent="0.25">
      <c r="B153" s="39"/>
      <c r="C153" s="40"/>
      <c r="D153" s="40"/>
      <c r="E153" s="6"/>
      <c r="F153" s="6"/>
      <c r="G153" s="6"/>
      <c r="H153" s="40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2:24" ht="15.75" customHeight="1" x14ac:dyDescent="0.25">
      <c r="B154" s="39"/>
      <c r="C154" s="40"/>
      <c r="D154" s="40"/>
      <c r="E154" s="6"/>
      <c r="F154" s="6"/>
      <c r="G154" s="6"/>
      <c r="H154" s="40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2:24" ht="15.75" customHeight="1" x14ac:dyDescent="0.25">
      <c r="B155" s="39"/>
      <c r="C155" s="40"/>
      <c r="D155" s="40"/>
      <c r="E155" s="6"/>
      <c r="F155" s="6"/>
      <c r="G155" s="6"/>
      <c r="H155" s="40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2:24" ht="15.75" customHeight="1" x14ac:dyDescent="0.25">
      <c r="B156" s="39"/>
      <c r="C156" s="40"/>
      <c r="D156" s="40"/>
      <c r="E156" s="6"/>
      <c r="F156" s="6"/>
      <c r="G156" s="6"/>
      <c r="H156" s="40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2:24" ht="15.75" customHeight="1" x14ac:dyDescent="0.25">
      <c r="B157" s="39"/>
      <c r="C157" s="40"/>
      <c r="D157" s="40"/>
      <c r="E157" s="6"/>
      <c r="F157" s="6"/>
      <c r="G157" s="6"/>
      <c r="H157" s="40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2:24" ht="15.75" customHeight="1" x14ac:dyDescent="0.25">
      <c r="B158" s="39"/>
      <c r="C158" s="40"/>
      <c r="D158" s="40"/>
      <c r="E158" s="6"/>
      <c r="F158" s="6"/>
      <c r="G158" s="6"/>
      <c r="H158" s="40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2:24" ht="15.75" customHeight="1" x14ac:dyDescent="0.25">
      <c r="B159" s="39"/>
      <c r="C159" s="40"/>
      <c r="D159" s="40"/>
      <c r="E159" s="6"/>
      <c r="F159" s="6"/>
      <c r="G159" s="6"/>
      <c r="H159" s="40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2:24" ht="15.75" customHeight="1" x14ac:dyDescent="0.25">
      <c r="B160" s="39"/>
      <c r="C160" s="40"/>
      <c r="D160" s="40"/>
      <c r="E160" s="6"/>
      <c r="F160" s="6"/>
      <c r="G160" s="6"/>
      <c r="H160" s="40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2:24" ht="15.75" customHeight="1" x14ac:dyDescent="0.25">
      <c r="B161" s="39"/>
      <c r="C161" s="40"/>
      <c r="D161" s="40"/>
      <c r="E161" s="6"/>
      <c r="F161" s="6"/>
      <c r="G161" s="6"/>
      <c r="H161" s="40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2:24" ht="15.75" customHeight="1" x14ac:dyDescent="0.25">
      <c r="B162" s="39"/>
      <c r="C162" s="40"/>
      <c r="D162" s="40"/>
      <c r="E162" s="6"/>
      <c r="F162" s="6"/>
      <c r="G162" s="6"/>
      <c r="H162" s="40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2:24" ht="15.75" customHeight="1" x14ac:dyDescent="0.25">
      <c r="B163" s="39"/>
      <c r="C163" s="40"/>
      <c r="D163" s="40"/>
      <c r="E163" s="6"/>
      <c r="F163" s="6"/>
      <c r="G163" s="6"/>
      <c r="H163" s="40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2:24" ht="15.75" customHeight="1" x14ac:dyDescent="0.25">
      <c r="B164" s="39"/>
      <c r="C164" s="40"/>
      <c r="D164" s="40"/>
      <c r="E164" s="6"/>
      <c r="F164" s="6"/>
      <c r="G164" s="6"/>
      <c r="H164" s="40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2:24" ht="15.75" customHeight="1" x14ac:dyDescent="0.25">
      <c r="B165" s="39"/>
      <c r="C165" s="40"/>
      <c r="D165" s="40"/>
      <c r="E165" s="6"/>
      <c r="F165" s="6"/>
      <c r="G165" s="6"/>
      <c r="H165" s="40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2:24" ht="15.75" customHeight="1" x14ac:dyDescent="0.25">
      <c r="B166" s="39"/>
      <c r="C166" s="40"/>
      <c r="D166" s="40"/>
      <c r="E166" s="6"/>
      <c r="F166" s="6"/>
      <c r="G166" s="6"/>
      <c r="H166" s="40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2:24" ht="15.75" customHeight="1" x14ac:dyDescent="0.25">
      <c r="B167" s="39"/>
      <c r="C167" s="40"/>
      <c r="D167" s="40"/>
      <c r="E167" s="6"/>
      <c r="F167" s="6"/>
      <c r="G167" s="6"/>
      <c r="H167" s="40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2:24" ht="15.75" customHeight="1" x14ac:dyDescent="0.25">
      <c r="B168" s="39"/>
      <c r="C168" s="40"/>
      <c r="D168" s="40"/>
      <c r="E168" s="6"/>
      <c r="F168" s="6"/>
      <c r="G168" s="6"/>
      <c r="H168" s="40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2:24" ht="15.75" customHeight="1" x14ac:dyDescent="0.25">
      <c r="B169" s="39"/>
      <c r="C169" s="40"/>
      <c r="D169" s="40"/>
      <c r="E169" s="6"/>
      <c r="F169" s="6"/>
      <c r="G169" s="6"/>
      <c r="H169" s="40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2:24" ht="15.75" customHeight="1" x14ac:dyDescent="0.25">
      <c r="B170" s="39"/>
      <c r="C170" s="40"/>
      <c r="D170" s="40"/>
      <c r="E170" s="6"/>
      <c r="F170" s="6"/>
      <c r="G170" s="6"/>
      <c r="H170" s="40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2:24" ht="15.75" customHeight="1" x14ac:dyDescent="0.25">
      <c r="B171" s="39"/>
      <c r="C171" s="40"/>
      <c r="D171" s="40"/>
      <c r="E171" s="6"/>
      <c r="F171" s="6"/>
      <c r="G171" s="6"/>
      <c r="H171" s="40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2:24" ht="15.75" customHeight="1" x14ac:dyDescent="0.25">
      <c r="B172" s="39"/>
      <c r="C172" s="40"/>
      <c r="D172" s="40"/>
      <c r="E172" s="6"/>
      <c r="F172" s="6"/>
      <c r="G172" s="6"/>
      <c r="H172" s="40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2:24" ht="15.75" customHeight="1" x14ac:dyDescent="0.25">
      <c r="B173" s="39"/>
      <c r="C173" s="40"/>
      <c r="D173" s="40"/>
      <c r="E173" s="6"/>
      <c r="F173" s="6"/>
      <c r="G173" s="6"/>
      <c r="H173" s="40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2:24" ht="15.75" customHeight="1" x14ac:dyDescent="0.25">
      <c r="B174" s="39"/>
      <c r="C174" s="40"/>
      <c r="D174" s="40"/>
      <c r="E174" s="6"/>
      <c r="F174" s="6"/>
      <c r="G174" s="6"/>
      <c r="H174" s="40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2:24" ht="15.75" customHeight="1" x14ac:dyDescent="0.25">
      <c r="B175" s="39"/>
      <c r="C175" s="40"/>
      <c r="D175" s="40"/>
      <c r="E175" s="6"/>
      <c r="F175" s="6"/>
      <c r="G175" s="6"/>
      <c r="H175" s="40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2:24" ht="15.75" customHeight="1" x14ac:dyDescent="0.25">
      <c r="B176" s="39"/>
      <c r="C176" s="40"/>
      <c r="D176" s="40"/>
      <c r="E176" s="6"/>
      <c r="F176" s="6"/>
      <c r="G176" s="6"/>
      <c r="H176" s="40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2:24" ht="15.75" customHeight="1" x14ac:dyDescent="0.25">
      <c r="B177" s="39"/>
      <c r="C177" s="40"/>
      <c r="D177" s="40"/>
      <c r="E177" s="6"/>
      <c r="F177" s="6"/>
      <c r="G177" s="6"/>
      <c r="H177" s="40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2:24" ht="15.75" customHeight="1" x14ac:dyDescent="0.25">
      <c r="B178" s="39"/>
      <c r="C178" s="40"/>
      <c r="D178" s="40"/>
      <c r="E178" s="6"/>
      <c r="F178" s="6"/>
      <c r="G178" s="6"/>
      <c r="H178" s="40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2:24" ht="15.75" customHeight="1" x14ac:dyDescent="0.25">
      <c r="B179" s="39"/>
      <c r="C179" s="40"/>
      <c r="D179" s="40"/>
      <c r="E179" s="6"/>
      <c r="F179" s="6"/>
      <c r="G179" s="6"/>
      <c r="H179" s="40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2:24" ht="15.75" customHeight="1" x14ac:dyDescent="0.25">
      <c r="B180" s="39"/>
      <c r="C180" s="40"/>
      <c r="D180" s="40"/>
      <c r="E180" s="6"/>
      <c r="F180" s="6"/>
      <c r="G180" s="6"/>
      <c r="H180" s="40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2:24" ht="15.75" customHeight="1" x14ac:dyDescent="0.25">
      <c r="B181" s="39"/>
      <c r="C181" s="40"/>
      <c r="D181" s="40"/>
      <c r="E181" s="6"/>
      <c r="F181" s="6"/>
      <c r="G181" s="6"/>
      <c r="H181" s="40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2:24" ht="15.75" customHeight="1" x14ac:dyDescent="0.25">
      <c r="B182" s="39"/>
      <c r="C182" s="40"/>
      <c r="D182" s="40"/>
      <c r="E182" s="6"/>
      <c r="F182" s="6"/>
      <c r="G182" s="6"/>
      <c r="H182" s="40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2:24" ht="15.75" customHeight="1" x14ac:dyDescent="0.25">
      <c r="B183" s="39"/>
      <c r="C183" s="40"/>
      <c r="D183" s="40"/>
      <c r="E183" s="6"/>
      <c r="F183" s="6"/>
      <c r="G183" s="6"/>
      <c r="H183" s="40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2:24" ht="15.75" customHeight="1" x14ac:dyDescent="0.25">
      <c r="B184" s="39"/>
      <c r="C184" s="40"/>
      <c r="D184" s="40"/>
      <c r="E184" s="6"/>
      <c r="F184" s="6"/>
      <c r="G184" s="6"/>
      <c r="H184" s="40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2:24" ht="15.75" customHeight="1" x14ac:dyDescent="0.25">
      <c r="B185" s="39"/>
      <c r="C185" s="40"/>
      <c r="D185" s="40"/>
      <c r="E185" s="6"/>
      <c r="F185" s="6"/>
      <c r="G185" s="6"/>
      <c r="H185" s="40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2:24" ht="15.75" customHeight="1" x14ac:dyDescent="0.25">
      <c r="B186" s="39"/>
      <c r="C186" s="40"/>
      <c r="D186" s="40"/>
      <c r="E186" s="6"/>
      <c r="F186" s="6"/>
      <c r="G186" s="6"/>
      <c r="H186" s="40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2:24" ht="15.75" customHeight="1" x14ac:dyDescent="0.25">
      <c r="B187" s="39"/>
      <c r="C187" s="40"/>
      <c r="D187" s="40"/>
      <c r="E187" s="6"/>
      <c r="F187" s="6"/>
      <c r="G187" s="6"/>
      <c r="H187" s="40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2:24" ht="15.75" customHeight="1" x14ac:dyDescent="0.25">
      <c r="B188" s="39"/>
      <c r="C188" s="40"/>
      <c r="D188" s="40"/>
      <c r="E188" s="6"/>
      <c r="F188" s="6"/>
      <c r="G188" s="6"/>
      <c r="H188" s="40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2:24" ht="15.75" customHeight="1" x14ac:dyDescent="0.25">
      <c r="B189" s="39"/>
      <c r="C189" s="40"/>
      <c r="D189" s="40"/>
      <c r="E189" s="6"/>
      <c r="F189" s="6"/>
      <c r="G189" s="6"/>
      <c r="H189" s="40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2:24" ht="15.75" customHeight="1" x14ac:dyDescent="0.25">
      <c r="B190" s="39"/>
      <c r="C190" s="40"/>
      <c r="D190" s="40"/>
      <c r="E190" s="6"/>
      <c r="F190" s="6"/>
      <c r="G190" s="6"/>
      <c r="H190" s="40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2:24" ht="15.75" customHeight="1" x14ac:dyDescent="0.25">
      <c r="B191" s="39"/>
      <c r="C191" s="40"/>
      <c r="D191" s="40"/>
      <c r="E191" s="6"/>
      <c r="F191" s="6"/>
      <c r="G191" s="6"/>
      <c r="H191" s="40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2:24" ht="15.75" customHeight="1" x14ac:dyDescent="0.25">
      <c r="B192" s="39"/>
      <c r="C192" s="40"/>
      <c r="D192" s="40"/>
      <c r="E192" s="6"/>
      <c r="F192" s="6"/>
      <c r="G192" s="6"/>
      <c r="H192" s="40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2:24" ht="15.75" customHeight="1" x14ac:dyDescent="0.25">
      <c r="B193" s="39"/>
      <c r="C193" s="40"/>
      <c r="D193" s="40"/>
      <c r="E193" s="6"/>
      <c r="F193" s="6"/>
      <c r="G193" s="6"/>
      <c r="H193" s="40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2:24" ht="15.75" customHeight="1" x14ac:dyDescent="0.25">
      <c r="B194" s="39"/>
      <c r="C194" s="40"/>
      <c r="D194" s="40"/>
      <c r="E194" s="6"/>
      <c r="F194" s="6"/>
      <c r="G194" s="6"/>
      <c r="H194" s="40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2:24" ht="15.75" customHeight="1" x14ac:dyDescent="0.25">
      <c r="B195" s="39"/>
      <c r="C195" s="40"/>
      <c r="D195" s="40"/>
      <c r="E195" s="6"/>
      <c r="F195" s="6"/>
      <c r="G195" s="6"/>
      <c r="H195" s="40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2:24" ht="15.75" customHeight="1" x14ac:dyDescent="0.25">
      <c r="B196" s="39"/>
      <c r="C196" s="40"/>
      <c r="D196" s="40"/>
      <c r="E196" s="6"/>
      <c r="F196" s="6"/>
      <c r="G196" s="6"/>
      <c r="H196" s="40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2:24" ht="15.75" customHeight="1" x14ac:dyDescent="0.25">
      <c r="B197" s="39"/>
      <c r="C197" s="40"/>
      <c r="D197" s="40"/>
      <c r="E197" s="6"/>
      <c r="F197" s="6"/>
      <c r="G197" s="6"/>
      <c r="H197" s="40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2:24" ht="15.75" customHeight="1" x14ac:dyDescent="0.25">
      <c r="B198" s="39"/>
      <c r="C198" s="40"/>
      <c r="D198" s="40"/>
      <c r="E198" s="6"/>
      <c r="F198" s="6"/>
      <c r="G198" s="6"/>
      <c r="H198" s="40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2:24" ht="15.75" customHeight="1" x14ac:dyDescent="0.25">
      <c r="B199" s="39"/>
      <c r="C199" s="40"/>
      <c r="D199" s="40"/>
      <c r="E199" s="6"/>
      <c r="F199" s="6"/>
      <c r="G199" s="6"/>
      <c r="H199" s="40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2:24" ht="15.75" customHeight="1" x14ac:dyDescent="0.25">
      <c r="B200" s="39"/>
      <c r="C200" s="40"/>
      <c r="D200" s="40"/>
      <c r="E200" s="6"/>
      <c r="F200" s="6"/>
      <c r="G200" s="6"/>
      <c r="H200" s="40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2:24" ht="15.75" customHeight="1" x14ac:dyDescent="0.25">
      <c r="B201" s="39"/>
      <c r="C201" s="40"/>
      <c r="D201" s="40"/>
      <c r="E201" s="6"/>
      <c r="F201" s="6"/>
      <c r="G201" s="6"/>
      <c r="H201" s="40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2:24" ht="15.75" customHeight="1" x14ac:dyDescent="0.25">
      <c r="B202" s="39"/>
      <c r="C202" s="40"/>
      <c r="D202" s="40"/>
      <c r="E202" s="6"/>
      <c r="F202" s="6"/>
      <c r="G202" s="6"/>
      <c r="H202" s="40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2:24" ht="15.75" customHeight="1" x14ac:dyDescent="0.25">
      <c r="B203" s="39"/>
      <c r="C203" s="40"/>
      <c r="D203" s="40"/>
      <c r="E203" s="6"/>
      <c r="F203" s="6"/>
      <c r="G203" s="6"/>
      <c r="H203" s="40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2:24" ht="15.75" customHeight="1" x14ac:dyDescent="0.25">
      <c r="B204" s="39"/>
      <c r="C204" s="40"/>
      <c r="D204" s="40"/>
      <c r="E204" s="6"/>
      <c r="F204" s="6"/>
      <c r="G204" s="6"/>
      <c r="H204" s="40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2:24" ht="15.75" customHeight="1" x14ac:dyDescent="0.25">
      <c r="B205" s="39"/>
      <c r="C205" s="40"/>
      <c r="D205" s="40"/>
      <c r="E205" s="6"/>
      <c r="F205" s="6"/>
      <c r="G205" s="6"/>
      <c r="H205" s="40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2:24" ht="15.75" customHeight="1" x14ac:dyDescent="0.25">
      <c r="B206" s="39"/>
      <c r="C206" s="40"/>
      <c r="D206" s="40"/>
      <c r="E206" s="6"/>
      <c r="F206" s="6"/>
      <c r="G206" s="6"/>
      <c r="H206" s="40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2:24" ht="15.75" customHeight="1" x14ac:dyDescent="0.25">
      <c r="B207" s="39"/>
      <c r="C207" s="40"/>
      <c r="D207" s="40"/>
      <c r="E207" s="6"/>
      <c r="F207" s="6"/>
      <c r="G207" s="6"/>
      <c r="H207" s="40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2:24" ht="15.75" customHeight="1" x14ac:dyDescent="0.25">
      <c r="B208" s="39"/>
      <c r="C208" s="40"/>
      <c r="D208" s="40"/>
      <c r="E208" s="6"/>
      <c r="F208" s="6"/>
      <c r="G208" s="6"/>
      <c r="H208" s="40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2:24" ht="15.75" customHeight="1" x14ac:dyDescent="0.25">
      <c r="B209" s="39"/>
      <c r="C209" s="40"/>
      <c r="D209" s="40"/>
      <c r="E209" s="6"/>
      <c r="F209" s="6"/>
      <c r="G209" s="6"/>
      <c r="H209" s="40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2:24" ht="15.75" customHeight="1" x14ac:dyDescent="0.25">
      <c r="B210" s="39"/>
      <c r="C210" s="40"/>
      <c r="D210" s="40"/>
      <c r="E210" s="6"/>
      <c r="F210" s="6"/>
      <c r="G210" s="6"/>
      <c r="H210" s="40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2:24" ht="15.75" customHeight="1" x14ac:dyDescent="0.25">
      <c r="B211" s="39"/>
      <c r="C211" s="40"/>
      <c r="D211" s="40"/>
      <c r="E211" s="6"/>
      <c r="F211" s="6"/>
      <c r="G211" s="6"/>
      <c r="H211" s="40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2:24" ht="15.75" customHeight="1" x14ac:dyDescent="0.25">
      <c r="B212" s="39"/>
      <c r="C212" s="40"/>
      <c r="D212" s="40"/>
      <c r="E212" s="6"/>
      <c r="F212" s="6"/>
      <c r="G212" s="6"/>
      <c r="H212" s="40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2:24" ht="15.75" customHeight="1" x14ac:dyDescent="0.25">
      <c r="B213" s="39"/>
      <c r="C213" s="40"/>
      <c r="D213" s="40"/>
      <c r="E213" s="6"/>
      <c r="F213" s="6"/>
      <c r="G213" s="6"/>
      <c r="H213" s="40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2:24" ht="15.75" customHeight="1" x14ac:dyDescent="0.25">
      <c r="B214" s="39"/>
      <c r="C214" s="40"/>
      <c r="D214" s="40"/>
      <c r="E214" s="6"/>
      <c r="F214" s="6"/>
      <c r="G214" s="6"/>
      <c r="H214" s="40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2:24" ht="15.75" customHeight="1" x14ac:dyDescent="0.25">
      <c r="B215" s="39"/>
      <c r="C215" s="40"/>
      <c r="D215" s="40"/>
      <c r="E215" s="6"/>
      <c r="F215" s="6"/>
      <c r="G215" s="6"/>
      <c r="H215" s="40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2:24" ht="15.75" customHeight="1" x14ac:dyDescent="0.25">
      <c r="B216" s="39"/>
      <c r="C216" s="40"/>
      <c r="D216" s="40"/>
      <c r="E216" s="6"/>
      <c r="F216" s="6"/>
      <c r="G216" s="6"/>
      <c r="H216" s="40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2:24" ht="15.75" customHeight="1" x14ac:dyDescent="0.25">
      <c r="B217" s="39"/>
      <c r="C217" s="40"/>
      <c r="D217" s="40"/>
      <c r="E217" s="6"/>
      <c r="F217" s="6"/>
      <c r="G217" s="6"/>
      <c r="H217" s="40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2:24" ht="15.75" customHeight="1" x14ac:dyDescent="0.25">
      <c r="B218" s="39"/>
      <c r="C218" s="40"/>
      <c r="D218" s="40"/>
      <c r="E218" s="6"/>
      <c r="F218" s="6"/>
      <c r="G218" s="6"/>
      <c r="H218" s="40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2:24" ht="15.75" customHeight="1" x14ac:dyDescent="0.25">
      <c r="B219" s="39"/>
      <c r="C219" s="40"/>
      <c r="D219" s="40"/>
      <c r="E219" s="6"/>
      <c r="F219" s="6"/>
      <c r="G219" s="6"/>
      <c r="H219" s="40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2:24" ht="15.75" customHeight="1" x14ac:dyDescent="0.25">
      <c r="B220" s="39"/>
      <c r="C220" s="40"/>
      <c r="D220" s="40"/>
      <c r="E220" s="6"/>
      <c r="F220" s="6"/>
      <c r="G220" s="6"/>
      <c r="H220" s="40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2:24" ht="15.75" customHeight="1" x14ac:dyDescent="0.25">
      <c r="B221" s="39"/>
      <c r="C221" s="40"/>
      <c r="D221" s="40"/>
      <c r="E221" s="6"/>
      <c r="F221" s="6"/>
      <c r="G221" s="6"/>
      <c r="H221" s="40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2:24" ht="15.75" customHeight="1" x14ac:dyDescent="0.25">
      <c r="B222" s="39"/>
      <c r="C222" s="40"/>
      <c r="D222" s="40"/>
      <c r="E222" s="6"/>
      <c r="F222" s="6"/>
      <c r="G222" s="6"/>
      <c r="H222" s="40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2:24" ht="15.75" customHeight="1" x14ac:dyDescent="0.25">
      <c r="B223" s="39"/>
      <c r="C223" s="40"/>
      <c r="D223" s="40"/>
      <c r="E223" s="6"/>
      <c r="F223" s="6"/>
      <c r="G223" s="6"/>
      <c r="H223" s="40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2:24" ht="15.75" customHeight="1" x14ac:dyDescent="0.25">
      <c r="B224" s="39"/>
      <c r="C224" s="40"/>
      <c r="D224" s="40"/>
      <c r="E224" s="6"/>
      <c r="F224" s="6"/>
      <c r="G224" s="6"/>
      <c r="H224" s="40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2:24" ht="15.75" customHeight="1" x14ac:dyDescent="0.25">
      <c r="B225" s="39"/>
      <c r="C225" s="40"/>
      <c r="D225" s="40"/>
      <c r="E225" s="6"/>
      <c r="F225" s="6"/>
      <c r="G225" s="6"/>
      <c r="H225" s="40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2:24" ht="15.75" customHeight="1" x14ac:dyDescent="0.25">
      <c r="B226" s="39"/>
      <c r="C226" s="40"/>
      <c r="D226" s="40"/>
      <c r="E226" s="6"/>
      <c r="F226" s="6"/>
      <c r="G226" s="6"/>
      <c r="H226" s="40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2:24" ht="15.75" customHeight="1" x14ac:dyDescent="0.25">
      <c r="B227" s="39"/>
      <c r="C227" s="40"/>
      <c r="D227" s="40"/>
      <c r="E227" s="6"/>
      <c r="F227" s="6"/>
      <c r="G227" s="6"/>
      <c r="H227" s="40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2:24" ht="15.75" customHeight="1" x14ac:dyDescent="0.25">
      <c r="B228" s="39"/>
      <c r="C228" s="40"/>
      <c r="D228" s="40"/>
      <c r="E228" s="6"/>
      <c r="F228" s="6"/>
      <c r="G228" s="6"/>
      <c r="H228" s="40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2:24" ht="15.75" customHeight="1" x14ac:dyDescent="0.25">
      <c r="B229" s="39"/>
      <c r="C229" s="40"/>
      <c r="D229" s="40"/>
      <c r="E229" s="6"/>
      <c r="F229" s="6"/>
      <c r="G229" s="6"/>
      <c r="H229" s="40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2:24" ht="15.75" customHeight="1" x14ac:dyDescent="0.25">
      <c r="B230" s="39"/>
      <c r="C230" s="40"/>
      <c r="D230" s="40"/>
      <c r="E230" s="6"/>
      <c r="F230" s="6"/>
      <c r="G230" s="6"/>
      <c r="H230" s="40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2:24" ht="15.75" customHeight="1" x14ac:dyDescent="0.25">
      <c r="B231" s="39"/>
      <c r="C231" s="40"/>
      <c r="D231" s="40"/>
      <c r="E231" s="6"/>
      <c r="F231" s="6"/>
      <c r="G231" s="6"/>
      <c r="H231" s="40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2:24" ht="15.75" customHeight="1" x14ac:dyDescent="0.25">
      <c r="B232" s="39"/>
      <c r="C232" s="40"/>
      <c r="D232" s="40"/>
      <c r="E232" s="6"/>
      <c r="F232" s="6"/>
      <c r="G232" s="6"/>
      <c r="H232" s="40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2:24" ht="15.75" customHeight="1" x14ac:dyDescent="0.25">
      <c r="B233" s="39"/>
      <c r="C233" s="40"/>
      <c r="D233" s="40"/>
      <c r="E233" s="6"/>
      <c r="F233" s="6"/>
      <c r="G233" s="6"/>
      <c r="H233" s="40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2:24" ht="15.75" customHeight="1" x14ac:dyDescent="0.25">
      <c r="B234" s="39"/>
      <c r="C234" s="40"/>
      <c r="D234" s="40"/>
      <c r="E234" s="6"/>
      <c r="F234" s="6"/>
      <c r="G234" s="6"/>
      <c r="H234" s="40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2:24" ht="15.75" customHeight="1" x14ac:dyDescent="0.25">
      <c r="B235" s="39"/>
      <c r="C235" s="40"/>
      <c r="D235" s="40"/>
      <c r="E235" s="6"/>
      <c r="F235" s="6"/>
      <c r="G235" s="6"/>
      <c r="H235" s="40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2:24" ht="15.75" customHeight="1" x14ac:dyDescent="0.25">
      <c r="B236" s="39"/>
      <c r="C236" s="40"/>
      <c r="D236" s="40"/>
      <c r="E236" s="6"/>
      <c r="F236" s="6"/>
      <c r="G236" s="6"/>
      <c r="H236" s="40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2:24" ht="15.75" customHeight="1" x14ac:dyDescent="0.25">
      <c r="B237" s="39"/>
      <c r="C237" s="40"/>
      <c r="D237" s="40"/>
      <c r="E237" s="6"/>
      <c r="F237" s="6"/>
      <c r="G237" s="6"/>
      <c r="H237" s="40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2:24" ht="15.75" customHeight="1" x14ac:dyDescent="0.25">
      <c r="B238" s="39"/>
      <c r="C238" s="40"/>
      <c r="D238" s="40"/>
      <c r="E238" s="6"/>
      <c r="F238" s="6"/>
      <c r="G238" s="6"/>
      <c r="H238" s="40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2:24" ht="15.75" customHeight="1" x14ac:dyDescent="0.25">
      <c r="B239" s="39"/>
      <c r="C239" s="40"/>
      <c r="D239" s="40"/>
      <c r="E239" s="6"/>
      <c r="F239" s="6"/>
      <c r="G239" s="6"/>
      <c r="H239" s="40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2:24" ht="15.75" customHeight="1" x14ac:dyDescent="0.25">
      <c r="B240" s="39"/>
      <c r="C240" s="40"/>
      <c r="D240" s="40"/>
      <c r="E240" s="6"/>
      <c r="F240" s="6"/>
      <c r="G240" s="6"/>
      <c r="H240" s="40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2:24" ht="15.75" customHeight="1" x14ac:dyDescent="0.25">
      <c r="B241" s="39"/>
      <c r="C241" s="40"/>
      <c r="D241" s="40"/>
      <c r="E241" s="6"/>
      <c r="F241" s="6"/>
      <c r="G241" s="6"/>
      <c r="H241" s="40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2:24" ht="15.75" customHeight="1" x14ac:dyDescent="0.25">
      <c r="B242" s="39"/>
      <c r="C242" s="40"/>
      <c r="D242" s="40"/>
      <c r="E242" s="6"/>
      <c r="F242" s="6"/>
      <c r="G242" s="6"/>
      <c r="H242" s="40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2:24" ht="15.75" customHeight="1" x14ac:dyDescent="0.25">
      <c r="B243" s="39"/>
      <c r="C243" s="40"/>
      <c r="D243" s="40"/>
      <c r="E243" s="6"/>
      <c r="F243" s="6"/>
      <c r="G243" s="6"/>
      <c r="H243" s="40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2:24" ht="15.75" customHeight="1" x14ac:dyDescent="0.25">
      <c r="B244" s="39"/>
      <c r="C244" s="40"/>
      <c r="D244" s="40"/>
      <c r="E244" s="6"/>
      <c r="F244" s="6"/>
      <c r="G244" s="6"/>
      <c r="H244" s="40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2:24" ht="15.75" customHeight="1" x14ac:dyDescent="0.25">
      <c r="B245" s="39"/>
      <c r="C245" s="40"/>
      <c r="D245" s="40"/>
      <c r="E245" s="6"/>
      <c r="F245" s="6"/>
      <c r="G245" s="6"/>
      <c r="H245" s="40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2:24" ht="15.75" customHeight="1" x14ac:dyDescent="0.25">
      <c r="B246" s="39"/>
      <c r="C246" s="40"/>
      <c r="D246" s="40"/>
      <c r="E246" s="6"/>
      <c r="F246" s="6"/>
      <c r="G246" s="6"/>
      <c r="H246" s="40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2:24" ht="15.75" customHeight="1" x14ac:dyDescent="0.25">
      <c r="B247" s="39"/>
      <c r="C247" s="40"/>
      <c r="D247" s="40"/>
      <c r="E247" s="6"/>
      <c r="F247" s="6"/>
      <c r="G247" s="6"/>
      <c r="H247" s="40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2:24" ht="15.75" customHeight="1" x14ac:dyDescent="0.25">
      <c r="B248" s="39"/>
      <c r="C248" s="40"/>
      <c r="D248" s="40"/>
      <c r="E248" s="6"/>
      <c r="F248" s="6"/>
      <c r="G248" s="6"/>
      <c r="H248" s="40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2:24" ht="15.75" customHeight="1" x14ac:dyDescent="0.25">
      <c r="B249" s="39"/>
      <c r="C249" s="40"/>
      <c r="D249" s="40"/>
      <c r="E249" s="6"/>
      <c r="F249" s="6"/>
      <c r="G249" s="6"/>
      <c r="H249" s="40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2:24" ht="15.75" customHeight="1" x14ac:dyDescent="0.25">
      <c r="B250" s="39"/>
      <c r="C250" s="40"/>
      <c r="D250" s="40"/>
      <c r="E250" s="6"/>
      <c r="F250" s="6"/>
      <c r="G250" s="6"/>
      <c r="H250" s="40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2:24" ht="15.75" customHeight="1" x14ac:dyDescent="0.25">
      <c r="B251" s="39"/>
      <c r="C251" s="40"/>
      <c r="D251" s="40"/>
      <c r="E251" s="6"/>
      <c r="F251" s="6"/>
      <c r="G251" s="6"/>
      <c r="H251" s="40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2:24" ht="15.75" customHeight="1" x14ac:dyDescent="0.25">
      <c r="B252" s="39"/>
      <c r="C252" s="40"/>
      <c r="D252" s="40"/>
      <c r="E252" s="6"/>
      <c r="F252" s="6"/>
      <c r="G252" s="6"/>
      <c r="H252" s="40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2:24" ht="15.75" customHeight="1" x14ac:dyDescent="0.25">
      <c r="B253" s="39"/>
      <c r="C253" s="40"/>
      <c r="D253" s="40"/>
      <c r="E253" s="6"/>
      <c r="F253" s="6"/>
      <c r="G253" s="6"/>
      <c r="H253" s="40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2:24" ht="15.75" customHeight="1" x14ac:dyDescent="0.25">
      <c r="B254" s="39"/>
      <c r="C254" s="40"/>
      <c r="D254" s="40"/>
      <c r="E254" s="6"/>
      <c r="F254" s="6"/>
      <c r="G254" s="6"/>
      <c r="H254" s="40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2:24" ht="15.75" customHeight="1" x14ac:dyDescent="0.25">
      <c r="B255" s="39"/>
      <c r="C255" s="40"/>
      <c r="D255" s="40"/>
      <c r="E255" s="6"/>
      <c r="F255" s="6"/>
      <c r="G255" s="6"/>
      <c r="H255" s="40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2:24" ht="15.75" customHeight="1" x14ac:dyDescent="0.25">
      <c r="B256" s="39"/>
      <c r="C256" s="40"/>
      <c r="D256" s="40"/>
      <c r="E256" s="6"/>
      <c r="F256" s="6"/>
      <c r="G256" s="6"/>
      <c r="H256" s="40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2:24" ht="15.75" customHeight="1" x14ac:dyDescent="0.25">
      <c r="B257" s="39"/>
      <c r="C257" s="40"/>
      <c r="D257" s="40"/>
      <c r="E257" s="6"/>
      <c r="F257" s="6"/>
      <c r="G257" s="6"/>
      <c r="H257" s="40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2:24" ht="15.75" customHeight="1" x14ac:dyDescent="0.25">
      <c r="B258" s="39"/>
      <c r="C258" s="40"/>
      <c r="D258" s="40"/>
      <c r="E258" s="6"/>
      <c r="F258" s="6"/>
      <c r="G258" s="6"/>
      <c r="H258" s="40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2:24" ht="15.75" customHeight="1" x14ac:dyDescent="0.25">
      <c r="B259" s="39"/>
      <c r="C259" s="40"/>
      <c r="D259" s="40"/>
      <c r="E259" s="6"/>
      <c r="F259" s="6"/>
      <c r="G259" s="6"/>
      <c r="H259" s="40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2:24" ht="15.75" customHeight="1" x14ac:dyDescent="0.25">
      <c r="B260" s="39"/>
      <c r="C260" s="40"/>
      <c r="D260" s="40"/>
      <c r="E260" s="6"/>
      <c r="F260" s="6"/>
      <c r="G260" s="6"/>
      <c r="H260" s="40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2:24" ht="15.75" customHeight="1" x14ac:dyDescent="0.25">
      <c r="B261" s="39"/>
      <c r="C261" s="40"/>
      <c r="D261" s="40"/>
      <c r="E261" s="6"/>
      <c r="F261" s="6"/>
      <c r="G261" s="6"/>
      <c r="H261" s="40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2:24" ht="15.75" customHeight="1" x14ac:dyDescent="0.25">
      <c r="B262" s="39"/>
      <c r="C262" s="40"/>
      <c r="D262" s="40"/>
      <c r="E262" s="6"/>
      <c r="F262" s="6"/>
      <c r="G262" s="6"/>
      <c r="H262" s="40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2:24" ht="15.75" customHeight="1" x14ac:dyDescent="0.25">
      <c r="B263" s="39"/>
      <c r="C263" s="40"/>
      <c r="D263" s="40"/>
      <c r="E263" s="6"/>
      <c r="F263" s="6"/>
      <c r="G263" s="6"/>
      <c r="H263" s="40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2:24" ht="15.75" customHeight="1" x14ac:dyDescent="0.25">
      <c r="B264" s="39"/>
      <c r="C264" s="40"/>
      <c r="D264" s="40"/>
      <c r="E264" s="6"/>
      <c r="F264" s="6"/>
      <c r="G264" s="6"/>
      <c r="H264" s="40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2:24" ht="15.75" customHeight="1" x14ac:dyDescent="0.25">
      <c r="B265" s="39"/>
      <c r="C265" s="40"/>
      <c r="D265" s="40"/>
      <c r="E265" s="6"/>
      <c r="F265" s="6"/>
      <c r="G265" s="6"/>
      <c r="H265" s="40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2:24" ht="15.75" customHeight="1" x14ac:dyDescent="0.25">
      <c r="B266" s="39"/>
      <c r="C266" s="40"/>
      <c r="D266" s="40"/>
      <c r="E266" s="6"/>
      <c r="F266" s="6"/>
      <c r="G266" s="6"/>
      <c r="H266" s="40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2:24" ht="15.75" customHeight="1" x14ac:dyDescent="0.25">
      <c r="B267" s="39"/>
      <c r="C267" s="40"/>
      <c r="D267" s="40"/>
      <c r="E267" s="6"/>
      <c r="F267" s="6"/>
      <c r="G267" s="6"/>
      <c r="H267" s="40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2:24" ht="15.75" customHeight="1" x14ac:dyDescent="0.25">
      <c r="B268" s="39"/>
      <c r="C268" s="40"/>
      <c r="D268" s="40"/>
      <c r="E268" s="6"/>
      <c r="F268" s="6"/>
      <c r="G268" s="6"/>
      <c r="H268" s="40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2:24" ht="15.75" customHeight="1" x14ac:dyDescent="0.25">
      <c r="B269" s="39"/>
      <c r="C269" s="40"/>
      <c r="D269" s="40"/>
      <c r="E269" s="6"/>
      <c r="F269" s="6"/>
      <c r="G269" s="6"/>
      <c r="H269" s="40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2:24" ht="15.75" customHeight="1" x14ac:dyDescent="0.25">
      <c r="B270" s="39"/>
      <c r="C270" s="40"/>
      <c r="D270" s="40"/>
      <c r="E270" s="6"/>
      <c r="F270" s="6"/>
      <c r="G270" s="6"/>
      <c r="H270" s="40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2:24" ht="15.75" customHeight="1" x14ac:dyDescent="0.25">
      <c r="B271" s="39"/>
      <c r="C271" s="40"/>
      <c r="D271" s="40"/>
      <c r="E271" s="6"/>
      <c r="F271" s="6"/>
      <c r="G271" s="6"/>
      <c r="H271" s="40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2:24" ht="15.75" customHeight="1" x14ac:dyDescent="0.25">
      <c r="B272" s="39"/>
      <c r="C272" s="40"/>
      <c r="D272" s="40"/>
      <c r="E272" s="6"/>
      <c r="F272" s="6"/>
      <c r="G272" s="6"/>
      <c r="H272" s="40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2:24" ht="15.75" customHeight="1" x14ac:dyDescent="0.25">
      <c r="B273" s="39"/>
      <c r="C273" s="40"/>
      <c r="D273" s="40"/>
      <c r="E273" s="6"/>
      <c r="F273" s="6"/>
      <c r="G273" s="6"/>
      <c r="H273" s="40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2:24" ht="15.75" customHeight="1" x14ac:dyDescent="0.25">
      <c r="B274" s="39"/>
      <c r="C274" s="40"/>
      <c r="D274" s="40"/>
      <c r="E274" s="6"/>
      <c r="F274" s="6"/>
      <c r="G274" s="6"/>
      <c r="H274" s="40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2:24" ht="15.75" customHeight="1" x14ac:dyDescent="0.25">
      <c r="B275" s="39"/>
      <c r="C275" s="40"/>
      <c r="D275" s="40"/>
      <c r="E275" s="6"/>
      <c r="F275" s="6"/>
      <c r="G275" s="6"/>
      <c r="H275" s="40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2:24" ht="15.75" customHeight="1" x14ac:dyDescent="0.25">
      <c r="B276" s="39"/>
      <c r="C276" s="40"/>
      <c r="D276" s="40"/>
      <c r="E276" s="6"/>
      <c r="F276" s="6"/>
      <c r="G276" s="6"/>
      <c r="H276" s="40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2:24" ht="15.75" customHeight="1" x14ac:dyDescent="0.25">
      <c r="B277" s="39"/>
      <c r="C277" s="40"/>
      <c r="D277" s="40"/>
      <c r="E277" s="6"/>
      <c r="F277" s="6"/>
      <c r="G277" s="6"/>
      <c r="H277" s="40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2:24" ht="15.75" customHeight="1" x14ac:dyDescent="0.25">
      <c r="B278" s="39"/>
      <c r="C278" s="40"/>
      <c r="D278" s="40"/>
      <c r="E278" s="6"/>
      <c r="F278" s="6"/>
      <c r="G278" s="6"/>
      <c r="H278" s="40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2:24" ht="15.75" customHeight="1" x14ac:dyDescent="0.25">
      <c r="B279" s="39"/>
      <c r="C279" s="40"/>
      <c r="D279" s="40"/>
      <c r="E279" s="6"/>
      <c r="F279" s="6"/>
      <c r="G279" s="6"/>
      <c r="H279" s="40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2:24" ht="15.75" customHeight="1" x14ac:dyDescent="0.25">
      <c r="B280" s="39"/>
      <c r="C280" s="40"/>
      <c r="D280" s="40"/>
      <c r="E280" s="6"/>
      <c r="F280" s="6"/>
      <c r="G280" s="6"/>
      <c r="H280" s="40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2:24" ht="15.75" customHeight="1" x14ac:dyDescent="0.25">
      <c r="B281" s="39"/>
      <c r="C281" s="40"/>
      <c r="D281" s="40"/>
      <c r="E281" s="6"/>
      <c r="F281" s="6"/>
      <c r="G281" s="6"/>
      <c r="H281" s="40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2:24" ht="15.75" customHeight="1" x14ac:dyDescent="0.25">
      <c r="B282" s="39"/>
      <c r="C282" s="40"/>
      <c r="D282" s="40"/>
      <c r="E282" s="6"/>
      <c r="F282" s="6"/>
      <c r="G282" s="6"/>
      <c r="H282" s="40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2:24" ht="15.75" customHeight="1" x14ac:dyDescent="0.25">
      <c r="B283" s="39"/>
      <c r="C283" s="40"/>
      <c r="D283" s="40"/>
      <c r="E283" s="6"/>
      <c r="F283" s="6"/>
      <c r="G283" s="6"/>
      <c r="H283" s="40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2:24" ht="15.75" customHeight="1" x14ac:dyDescent="0.25">
      <c r="B284" s="39"/>
      <c r="C284" s="40"/>
      <c r="D284" s="40"/>
      <c r="E284" s="6"/>
      <c r="F284" s="6"/>
      <c r="G284" s="6"/>
      <c r="H284" s="40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2:24" ht="15.75" customHeight="1" x14ac:dyDescent="0.25">
      <c r="B285" s="39"/>
      <c r="C285" s="40"/>
      <c r="D285" s="40"/>
      <c r="E285" s="6"/>
      <c r="F285" s="6"/>
      <c r="G285" s="6"/>
      <c r="H285" s="40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2:24" ht="15.75" customHeight="1" x14ac:dyDescent="0.25">
      <c r="B286" s="39"/>
      <c r="C286" s="40"/>
      <c r="D286" s="40"/>
      <c r="E286" s="6"/>
      <c r="F286" s="6"/>
      <c r="G286" s="6"/>
      <c r="H286" s="40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2:24" ht="15.75" customHeight="1" x14ac:dyDescent="0.25">
      <c r="B287" s="39"/>
      <c r="C287" s="40"/>
      <c r="D287" s="40"/>
      <c r="E287" s="6"/>
      <c r="F287" s="6"/>
      <c r="G287" s="6"/>
      <c r="H287" s="40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2:24" ht="15.75" customHeight="1" x14ac:dyDescent="0.25">
      <c r="B288" s="39"/>
      <c r="C288" s="40"/>
      <c r="D288" s="40"/>
      <c r="E288" s="6"/>
      <c r="F288" s="6"/>
      <c r="G288" s="6"/>
      <c r="H288" s="40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2:24" ht="15.75" customHeight="1" x14ac:dyDescent="0.25">
      <c r="B289" s="39"/>
      <c r="C289" s="40"/>
      <c r="D289" s="40"/>
      <c r="E289" s="6"/>
      <c r="F289" s="6"/>
      <c r="G289" s="6"/>
      <c r="H289" s="40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2:24" ht="15.75" customHeight="1" x14ac:dyDescent="0.25">
      <c r="B290" s="39"/>
      <c r="C290" s="40"/>
      <c r="D290" s="40"/>
      <c r="E290" s="6"/>
      <c r="F290" s="6"/>
      <c r="G290" s="6"/>
      <c r="H290" s="40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2:24" ht="15.75" customHeight="1" x14ac:dyDescent="0.25">
      <c r="B291" s="39"/>
      <c r="C291" s="40"/>
      <c r="D291" s="40"/>
      <c r="E291" s="6"/>
      <c r="F291" s="6"/>
      <c r="G291" s="6"/>
      <c r="H291" s="40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2:24" ht="15.75" customHeight="1" x14ac:dyDescent="0.25">
      <c r="B292" s="39"/>
      <c r="C292" s="40"/>
      <c r="D292" s="40"/>
      <c r="E292" s="6"/>
      <c r="F292" s="6"/>
      <c r="G292" s="6"/>
      <c r="H292" s="40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2:24" ht="15.75" customHeight="1" x14ac:dyDescent="0.25">
      <c r="B293" s="39"/>
      <c r="C293" s="40"/>
      <c r="D293" s="40"/>
      <c r="E293" s="6"/>
      <c r="F293" s="6"/>
      <c r="G293" s="6"/>
      <c r="H293" s="40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2:24" ht="15.75" customHeight="1" x14ac:dyDescent="0.25">
      <c r="B294" s="39"/>
      <c r="C294" s="40"/>
      <c r="D294" s="40"/>
      <c r="E294" s="6"/>
      <c r="F294" s="6"/>
      <c r="G294" s="6"/>
      <c r="H294" s="40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2:24" ht="15.75" customHeight="1" x14ac:dyDescent="0.25">
      <c r="B295" s="39"/>
      <c r="C295" s="40"/>
      <c r="D295" s="40"/>
      <c r="E295" s="6"/>
      <c r="F295" s="6"/>
      <c r="G295" s="6"/>
      <c r="H295" s="40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2:24" ht="15.75" customHeight="1" x14ac:dyDescent="0.25">
      <c r="B296" s="39"/>
      <c r="C296" s="40"/>
      <c r="D296" s="40"/>
      <c r="E296" s="6"/>
      <c r="F296" s="6"/>
      <c r="G296" s="6"/>
      <c r="H296" s="40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2:24" ht="15.75" customHeight="1" x14ac:dyDescent="0.25">
      <c r="B297" s="39"/>
      <c r="C297" s="40"/>
      <c r="D297" s="40"/>
      <c r="E297" s="6"/>
      <c r="F297" s="6"/>
      <c r="G297" s="6"/>
      <c r="H297" s="40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2:24" ht="15.75" customHeight="1" x14ac:dyDescent="0.25">
      <c r="B298" s="39"/>
      <c r="C298" s="40"/>
      <c r="D298" s="40"/>
      <c r="E298" s="6"/>
      <c r="F298" s="6"/>
      <c r="G298" s="6"/>
      <c r="H298" s="40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2:24" ht="15.75" customHeight="1" x14ac:dyDescent="0.25">
      <c r="B299" s="39"/>
      <c r="C299" s="40"/>
      <c r="D299" s="40"/>
      <c r="E299" s="6"/>
      <c r="F299" s="6"/>
      <c r="G299" s="6"/>
      <c r="H299" s="40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2:24" ht="15.75" customHeight="1" x14ac:dyDescent="0.25">
      <c r="B300" s="39"/>
      <c r="C300" s="40"/>
      <c r="D300" s="40"/>
      <c r="E300" s="6"/>
      <c r="F300" s="6"/>
      <c r="G300" s="6"/>
      <c r="H300" s="40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2:24" ht="15.75" customHeight="1" x14ac:dyDescent="0.25">
      <c r="B301" s="39"/>
      <c r="C301" s="40"/>
      <c r="D301" s="40"/>
      <c r="E301" s="6"/>
      <c r="F301" s="6"/>
      <c r="G301" s="6"/>
      <c r="H301" s="40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2:24" ht="15.75" customHeight="1" x14ac:dyDescent="0.25">
      <c r="B302" s="39"/>
      <c r="C302" s="40"/>
      <c r="D302" s="40"/>
      <c r="E302" s="6"/>
      <c r="F302" s="6"/>
      <c r="G302" s="6"/>
      <c r="H302" s="40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2:24" ht="15.75" customHeight="1" x14ac:dyDescent="0.25">
      <c r="B303" s="39"/>
      <c r="C303" s="40"/>
      <c r="D303" s="40"/>
      <c r="E303" s="6"/>
      <c r="F303" s="6"/>
      <c r="G303" s="6"/>
      <c r="H303" s="40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2:24" ht="15.75" customHeight="1" x14ac:dyDescent="0.25">
      <c r="B304" s="39"/>
      <c r="C304" s="40"/>
      <c r="D304" s="40"/>
      <c r="E304" s="6"/>
      <c r="F304" s="6"/>
      <c r="G304" s="6"/>
      <c r="H304" s="40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2:24" ht="15.75" customHeight="1" x14ac:dyDescent="0.25">
      <c r="B305" s="39"/>
      <c r="C305" s="40"/>
      <c r="D305" s="40"/>
      <c r="E305" s="6"/>
      <c r="F305" s="6"/>
      <c r="G305" s="6"/>
      <c r="H305" s="40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2:24" ht="15.75" customHeight="1" x14ac:dyDescent="0.25">
      <c r="B306" s="39"/>
      <c r="C306" s="40"/>
      <c r="D306" s="40"/>
      <c r="E306" s="6"/>
      <c r="F306" s="6"/>
      <c r="G306" s="6"/>
      <c r="H306" s="40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2:24" ht="15.75" customHeight="1" x14ac:dyDescent="0.25">
      <c r="B307" s="39"/>
      <c r="C307" s="40"/>
      <c r="D307" s="40"/>
      <c r="E307" s="6"/>
      <c r="F307" s="6"/>
      <c r="G307" s="6"/>
      <c r="H307" s="40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2:24" ht="15.75" customHeight="1" x14ac:dyDescent="0.25">
      <c r="B308" s="39"/>
      <c r="C308" s="40"/>
      <c r="D308" s="40"/>
      <c r="E308" s="6"/>
      <c r="F308" s="6"/>
      <c r="G308" s="6"/>
      <c r="H308" s="40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2:24" ht="15.75" customHeight="1" x14ac:dyDescent="0.25">
      <c r="B309" s="39"/>
      <c r="C309" s="40"/>
      <c r="D309" s="40"/>
      <c r="E309" s="6"/>
      <c r="F309" s="6"/>
      <c r="G309" s="6"/>
      <c r="H309" s="40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2:24" ht="15.75" customHeight="1" x14ac:dyDescent="0.25">
      <c r="B310" s="39"/>
      <c r="C310" s="40"/>
      <c r="D310" s="40"/>
      <c r="E310" s="6"/>
      <c r="F310" s="6"/>
      <c r="G310" s="6"/>
      <c r="H310" s="40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2:24" ht="15.75" customHeight="1" x14ac:dyDescent="0.25">
      <c r="B311" s="39"/>
      <c r="C311" s="40"/>
      <c r="D311" s="40"/>
      <c r="E311" s="6"/>
      <c r="F311" s="6"/>
      <c r="G311" s="6"/>
      <c r="H311" s="40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2:24" ht="15.75" customHeight="1" x14ac:dyDescent="0.25">
      <c r="B312" s="39"/>
      <c r="C312" s="40"/>
      <c r="D312" s="40"/>
      <c r="E312" s="6"/>
      <c r="F312" s="6"/>
      <c r="G312" s="6"/>
      <c r="H312" s="40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2:24" ht="15.75" customHeight="1" x14ac:dyDescent="0.25">
      <c r="B313" s="39"/>
      <c r="C313" s="40"/>
      <c r="D313" s="40"/>
      <c r="E313" s="6"/>
      <c r="F313" s="6"/>
      <c r="G313" s="6"/>
      <c r="H313" s="40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2:24" ht="15.75" customHeight="1" x14ac:dyDescent="0.25">
      <c r="B314" s="39"/>
      <c r="C314" s="40"/>
      <c r="D314" s="40"/>
      <c r="E314" s="6"/>
      <c r="F314" s="6"/>
      <c r="G314" s="6"/>
      <c r="H314" s="40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2:24" ht="15.75" customHeight="1" x14ac:dyDescent="0.25">
      <c r="B315" s="39"/>
      <c r="C315" s="40"/>
      <c r="D315" s="40"/>
      <c r="E315" s="6"/>
      <c r="F315" s="6"/>
      <c r="G315" s="6"/>
      <c r="H315" s="40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2:24" ht="15.75" customHeight="1" x14ac:dyDescent="0.25">
      <c r="B316" s="39"/>
      <c r="C316" s="40"/>
      <c r="D316" s="40"/>
      <c r="E316" s="6"/>
      <c r="F316" s="6"/>
      <c r="G316" s="6"/>
      <c r="H316" s="40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2:24" ht="15.75" customHeight="1" x14ac:dyDescent="0.25">
      <c r="B317" s="39"/>
      <c r="C317" s="40"/>
      <c r="D317" s="40"/>
      <c r="E317" s="6"/>
      <c r="F317" s="6"/>
      <c r="G317" s="6"/>
      <c r="H317" s="40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2:24" ht="15.75" customHeight="1" x14ac:dyDescent="0.25">
      <c r="B318" s="39"/>
      <c r="C318" s="40"/>
      <c r="D318" s="40"/>
      <c r="E318" s="6"/>
      <c r="F318" s="6"/>
      <c r="G318" s="6"/>
      <c r="H318" s="40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2:24" ht="15.75" customHeight="1" x14ac:dyDescent="0.25">
      <c r="B319" s="39"/>
      <c r="C319" s="40"/>
      <c r="D319" s="40"/>
      <c r="E319" s="6"/>
      <c r="F319" s="6"/>
      <c r="G319" s="6"/>
      <c r="H319" s="40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2:24" ht="15.75" customHeight="1" x14ac:dyDescent="0.25">
      <c r="B320" s="39"/>
      <c r="C320" s="40"/>
      <c r="D320" s="40"/>
      <c r="E320" s="6"/>
      <c r="F320" s="6"/>
      <c r="G320" s="6"/>
      <c r="H320" s="40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2:24" ht="15.75" customHeight="1" x14ac:dyDescent="0.25">
      <c r="B321" s="39"/>
      <c r="C321" s="40"/>
      <c r="D321" s="40"/>
      <c r="E321" s="6"/>
      <c r="F321" s="6"/>
      <c r="G321" s="6"/>
      <c r="H321" s="40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2:24" ht="15.75" customHeight="1" x14ac:dyDescent="0.25">
      <c r="B322" s="39"/>
      <c r="C322" s="40"/>
      <c r="D322" s="40"/>
      <c r="E322" s="6"/>
      <c r="F322" s="6"/>
      <c r="G322" s="6"/>
      <c r="H322" s="40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2:24" ht="15.75" customHeight="1" x14ac:dyDescent="0.25">
      <c r="B323" s="39"/>
      <c r="C323" s="40"/>
      <c r="D323" s="40"/>
      <c r="E323" s="6"/>
      <c r="F323" s="6"/>
      <c r="G323" s="6"/>
      <c r="H323" s="40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2:24" ht="15.75" customHeight="1" x14ac:dyDescent="0.25">
      <c r="B324" s="39"/>
      <c r="C324" s="40"/>
      <c r="D324" s="40"/>
      <c r="E324" s="6"/>
      <c r="F324" s="6"/>
      <c r="G324" s="6"/>
      <c r="H324" s="40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2:24" ht="15.75" customHeight="1" x14ac:dyDescent="0.25">
      <c r="B325" s="39"/>
      <c r="C325" s="40"/>
      <c r="D325" s="40"/>
      <c r="E325" s="6"/>
      <c r="F325" s="6"/>
      <c r="G325" s="6"/>
      <c r="H325" s="40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2:24" ht="15.75" customHeight="1" x14ac:dyDescent="0.25">
      <c r="B326" s="39"/>
      <c r="C326" s="40"/>
      <c r="D326" s="40"/>
      <c r="E326" s="6"/>
      <c r="F326" s="6"/>
      <c r="G326" s="6"/>
      <c r="H326" s="40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2:24" ht="15.75" customHeight="1" x14ac:dyDescent="0.25">
      <c r="B327" s="39"/>
      <c r="C327" s="40"/>
      <c r="D327" s="40"/>
      <c r="E327" s="6"/>
      <c r="F327" s="6"/>
      <c r="G327" s="6"/>
      <c r="H327" s="40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2:24" ht="15.75" customHeight="1" x14ac:dyDescent="0.25">
      <c r="B328" s="39"/>
      <c r="C328" s="40"/>
      <c r="D328" s="40"/>
      <c r="E328" s="6"/>
      <c r="F328" s="6"/>
      <c r="G328" s="6"/>
      <c r="H328" s="40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2:24" ht="15.75" customHeight="1" x14ac:dyDescent="0.25">
      <c r="B329" s="39"/>
      <c r="C329" s="40"/>
      <c r="D329" s="40"/>
      <c r="E329" s="6"/>
      <c r="F329" s="6"/>
      <c r="G329" s="6"/>
      <c r="H329" s="40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2:24" ht="15.75" customHeight="1" x14ac:dyDescent="0.25">
      <c r="B330" s="39"/>
      <c r="C330" s="40"/>
      <c r="D330" s="40"/>
      <c r="E330" s="6"/>
      <c r="F330" s="6"/>
      <c r="G330" s="6"/>
      <c r="H330" s="40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2:24" ht="15.75" customHeight="1" x14ac:dyDescent="0.25">
      <c r="B331" s="39"/>
      <c r="C331" s="40"/>
      <c r="D331" s="40"/>
      <c r="E331" s="6"/>
      <c r="F331" s="6"/>
      <c r="G331" s="6"/>
      <c r="H331" s="40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2:24" ht="15.75" customHeight="1" x14ac:dyDescent="0.25">
      <c r="B332" s="39"/>
      <c r="C332" s="40"/>
      <c r="D332" s="40"/>
      <c r="E332" s="6"/>
      <c r="F332" s="6"/>
      <c r="G332" s="6"/>
      <c r="H332" s="40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2:24" ht="15.75" customHeight="1" x14ac:dyDescent="0.25">
      <c r="B333" s="39"/>
      <c r="C333" s="40"/>
      <c r="D333" s="40"/>
      <c r="E333" s="6"/>
      <c r="F333" s="6"/>
      <c r="G333" s="6"/>
      <c r="H333" s="40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2:24" ht="15.75" customHeight="1" x14ac:dyDescent="0.25">
      <c r="B334" s="39"/>
      <c r="C334" s="40"/>
      <c r="D334" s="40"/>
      <c r="E334" s="6"/>
      <c r="F334" s="6"/>
      <c r="G334" s="6"/>
      <c r="H334" s="40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2:24" ht="15.75" customHeight="1" x14ac:dyDescent="0.25">
      <c r="B335" s="39"/>
      <c r="C335" s="40"/>
      <c r="D335" s="40"/>
      <c r="E335" s="6"/>
      <c r="F335" s="6"/>
      <c r="G335" s="6"/>
      <c r="H335" s="40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2:24" ht="15.75" customHeight="1" x14ac:dyDescent="0.25">
      <c r="B336" s="39"/>
      <c r="C336" s="40"/>
      <c r="D336" s="40"/>
      <c r="E336" s="6"/>
      <c r="F336" s="6"/>
      <c r="G336" s="6"/>
      <c r="H336" s="40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2:24" ht="15.75" customHeight="1" x14ac:dyDescent="0.25">
      <c r="B337" s="39"/>
      <c r="C337" s="40"/>
      <c r="D337" s="40"/>
      <c r="E337" s="6"/>
      <c r="F337" s="6"/>
      <c r="G337" s="6"/>
      <c r="H337" s="40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2:24" ht="15.75" customHeight="1" x14ac:dyDescent="0.25">
      <c r="B338" s="39"/>
      <c r="C338" s="40"/>
      <c r="D338" s="40"/>
      <c r="E338" s="6"/>
      <c r="F338" s="6"/>
      <c r="G338" s="6"/>
      <c r="H338" s="40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2:24" ht="15.75" customHeight="1" x14ac:dyDescent="0.25">
      <c r="B339" s="39"/>
      <c r="C339" s="40"/>
      <c r="D339" s="40"/>
      <c r="E339" s="6"/>
      <c r="F339" s="6"/>
      <c r="G339" s="6"/>
      <c r="H339" s="40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2:24" ht="15.75" customHeight="1" x14ac:dyDescent="0.25">
      <c r="B340" s="39"/>
      <c r="C340" s="40"/>
      <c r="D340" s="40"/>
      <c r="E340" s="6"/>
      <c r="F340" s="6"/>
      <c r="G340" s="6"/>
      <c r="H340" s="40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2:24" ht="15.75" customHeight="1" x14ac:dyDescent="0.25">
      <c r="B341" s="39"/>
      <c r="C341" s="40"/>
      <c r="D341" s="40"/>
      <c r="E341" s="6"/>
      <c r="F341" s="6"/>
      <c r="G341" s="6"/>
      <c r="H341" s="40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2:24" ht="15.75" customHeight="1" x14ac:dyDescent="0.25">
      <c r="B342" s="39"/>
      <c r="C342" s="40"/>
      <c r="D342" s="40"/>
      <c r="E342" s="6"/>
      <c r="F342" s="6"/>
      <c r="G342" s="6"/>
      <c r="H342" s="40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2:24" ht="15.75" customHeight="1" x14ac:dyDescent="0.25">
      <c r="B343" s="39"/>
      <c r="C343" s="40"/>
      <c r="D343" s="40"/>
      <c r="E343" s="6"/>
      <c r="F343" s="6"/>
      <c r="G343" s="6"/>
      <c r="H343" s="40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2:24" ht="15.75" customHeight="1" x14ac:dyDescent="0.25">
      <c r="B344" s="39"/>
      <c r="C344" s="40"/>
      <c r="D344" s="40"/>
      <c r="E344" s="6"/>
      <c r="F344" s="6"/>
      <c r="G344" s="6"/>
      <c r="H344" s="40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2:24" ht="15.75" customHeight="1" x14ac:dyDescent="0.25">
      <c r="B345" s="39"/>
      <c r="C345" s="40"/>
      <c r="D345" s="40"/>
      <c r="E345" s="6"/>
      <c r="F345" s="6"/>
      <c r="G345" s="6"/>
      <c r="H345" s="40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2:24" ht="15.75" customHeight="1" x14ac:dyDescent="0.25">
      <c r="B346" s="39"/>
      <c r="C346" s="40"/>
      <c r="D346" s="40"/>
      <c r="E346" s="6"/>
      <c r="F346" s="6"/>
      <c r="G346" s="6"/>
      <c r="H346" s="40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2:24" ht="15.75" customHeight="1" x14ac:dyDescent="0.25">
      <c r="B347" s="39"/>
      <c r="C347" s="40"/>
      <c r="D347" s="40"/>
      <c r="E347" s="6"/>
      <c r="F347" s="6"/>
      <c r="G347" s="6"/>
      <c r="H347" s="40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2:24" ht="15.75" customHeight="1" x14ac:dyDescent="0.25">
      <c r="B348" s="39"/>
      <c r="C348" s="40"/>
      <c r="D348" s="40"/>
      <c r="E348" s="6"/>
      <c r="F348" s="6"/>
      <c r="G348" s="6"/>
      <c r="H348" s="40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2:24" ht="15.75" customHeight="1" x14ac:dyDescent="0.25">
      <c r="B349" s="39"/>
      <c r="C349" s="40"/>
      <c r="D349" s="40"/>
      <c r="E349" s="6"/>
      <c r="F349" s="6"/>
      <c r="G349" s="6"/>
      <c r="H349" s="40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2:24" ht="15.75" customHeight="1" x14ac:dyDescent="0.25">
      <c r="B350" s="39"/>
      <c r="C350" s="40"/>
      <c r="D350" s="40"/>
      <c r="E350" s="6"/>
      <c r="F350" s="6"/>
      <c r="G350" s="6"/>
      <c r="H350" s="40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2:24" ht="15.75" customHeight="1" x14ac:dyDescent="0.25">
      <c r="B351" s="39"/>
      <c r="C351" s="40"/>
      <c r="D351" s="40"/>
      <c r="E351" s="6"/>
      <c r="F351" s="6"/>
      <c r="G351" s="6"/>
      <c r="H351" s="40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2:24" ht="15.75" customHeight="1" x14ac:dyDescent="0.25">
      <c r="B352" s="39"/>
      <c r="C352" s="40"/>
      <c r="D352" s="40"/>
      <c r="E352" s="6"/>
      <c r="F352" s="6"/>
      <c r="G352" s="6"/>
      <c r="H352" s="40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2:24" ht="15.75" customHeight="1" x14ac:dyDescent="0.25">
      <c r="B353" s="39"/>
      <c r="C353" s="40"/>
      <c r="D353" s="40"/>
      <c r="E353" s="6"/>
      <c r="F353" s="6"/>
      <c r="G353" s="6"/>
      <c r="H353" s="40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2:24" ht="15.75" customHeight="1" x14ac:dyDescent="0.25">
      <c r="B354" s="39"/>
      <c r="C354" s="40"/>
      <c r="D354" s="40"/>
      <c r="E354" s="6"/>
      <c r="F354" s="6"/>
      <c r="G354" s="6"/>
      <c r="H354" s="40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2:24" ht="15.75" customHeight="1" x14ac:dyDescent="0.25">
      <c r="B355" s="39"/>
      <c r="C355" s="40"/>
      <c r="D355" s="40"/>
      <c r="E355" s="6"/>
      <c r="F355" s="6"/>
      <c r="G355" s="6"/>
      <c r="H355" s="40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2:24" ht="15.75" customHeight="1" x14ac:dyDescent="0.25">
      <c r="B356" s="39"/>
      <c r="C356" s="40"/>
      <c r="D356" s="40"/>
      <c r="E356" s="6"/>
      <c r="F356" s="6"/>
      <c r="G356" s="6"/>
      <c r="H356" s="40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2:24" ht="15.75" customHeight="1" x14ac:dyDescent="0.25">
      <c r="B357" s="39"/>
      <c r="C357" s="40"/>
      <c r="D357" s="40"/>
      <c r="E357" s="6"/>
      <c r="F357" s="6"/>
      <c r="G357" s="6"/>
      <c r="H357" s="40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2:24" ht="15.75" customHeight="1" x14ac:dyDescent="0.25">
      <c r="B358" s="39"/>
      <c r="C358" s="40"/>
      <c r="D358" s="40"/>
      <c r="E358" s="6"/>
      <c r="F358" s="6"/>
      <c r="G358" s="6"/>
      <c r="H358" s="40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2:24" ht="15.75" customHeight="1" x14ac:dyDescent="0.25">
      <c r="B359" s="39"/>
      <c r="C359" s="40"/>
      <c r="D359" s="40"/>
      <c r="E359" s="6"/>
      <c r="F359" s="6"/>
      <c r="G359" s="6"/>
      <c r="H359" s="40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2:24" ht="15.75" customHeight="1" x14ac:dyDescent="0.25">
      <c r="B360" s="39"/>
      <c r="C360" s="40"/>
      <c r="D360" s="40"/>
      <c r="E360" s="6"/>
      <c r="F360" s="6"/>
      <c r="G360" s="6"/>
      <c r="H360" s="40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2:24" ht="15.75" customHeight="1" x14ac:dyDescent="0.25">
      <c r="B361" s="39"/>
      <c r="C361" s="40"/>
      <c r="D361" s="40"/>
      <c r="E361" s="6"/>
      <c r="F361" s="6"/>
      <c r="G361" s="6"/>
      <c r="H361" s="40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2:24" ht="15.75" customHeight="1" x14ac:dyDescent="0.25">
      <c r="B362" s="39"/>
      <c r="C362" s="40"/>
      <c r="D362" s="40"/>
      <c r="E362" s="6"/>
      <c r="F362" s="6"/>
      <c r="G362" s="6"/>
      <c r="H362" s="40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2:24" ht="15.75" customHeight="1" x14ac:dyDescent="0.25">
      <c r="B363" s="39"/>
      <c r="C363" s="40"/>
      <c r="D363" s="40"/>
      <c r="E363" s="6"/>
      <c r="F363" s="6"/>
      <c r="G363" s="6"/>
      <c r="H363" s="40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2:24" ht="15.75" customHeight="1" x14ac:dyDescent="0.25">
      <c r="B364" s="39"/>
      <c r="C364" s="40"/>
      <c r="D364" s="40"/>
      <c r="E364" s="6"/>
      <c r="F364" s="6"/>
      <c r="G364" s="6"/>
      <c r="H364" s="40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2:24" ht="15.75" customHeight="1" x14ac:dyDescent="0.25">
      <c r="B365" s="39"/>
      <c r="C365" s="40"/>
      <c r="D365" s="40"/>
      <c r="E365" s="6"/>
      <c r="F365" s="6"/>
      <c r="G365" s="6"/>
      <c r="H365" s="40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2:24" ht="15.75" customHeight="1" x14ac:dyDescent="0.25">
      <c r="B366" s="39"/>
      <c r="C366" s="40"/>
      <c r="D366" s="40"/>
      <c r="E366" s="6"/>
      <c r="F366" s="6"/>
      <c r="G366" s="6"/>
      <c r="H366" s="40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2:24" ht="15.75" customHeight="1" x14ac:dyDescent="0.25">
      <c r="B367" s="39"/>
      <c r="C367" s="40"/>
      <c r="D367" s="40"/>
      <c r="E367" s="6"/>
      <c r="F367" s="6"/>
      <c r="G367" s="6"/>
      <c r="H367" s="40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2:24" ht="15.75" customHeight="1" x14ac:dyDescent="0.25">
      <c r="B368" s="39"/>
      <c r="C368" s="40"/>
      <c r="D368" s="40"/>
      <c r="E368" s="6"/>
      <c r="F368" s="6"/>
      <c r="G368" s="6"/>
      <c r="H368" s="40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2:24" ht="15.75" customHeight="1" x14ac:dyDescent="0.25">
      <c r="B369" s="39"/>
      <c r="C369" s="40"/>
      <c r="D369" s="40"/>
      <c r="E369" s="6"/>
      <c r="F369" s="6"/>
      <c r="G369" s="6"/>
      <c r="H369" s="40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2:24" ht="15.75" customHeight="1" x14ac:dyDescent="0.25">
      <c r="B370" s="39"/>
      <c r="C370" s="40"/>
      <c r="D370" s="40"/>
      <c r="E370" s="6"/>
      <c r="F370" s="6"/>
      <c r="G370" s="6"/>
      <c r="H370" s="40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2:24" ht="15.75" customHeight="1" x14ac:dyDescent="0.25">
      <c r="B371" s="39"/>
      <c r="C371" s="40"/>
      <c r="D371" s="40"/>
      <c r="E371" s="6"/>
      <c r="F371" s="6"/>
      <c r="G371" s="6"/>
      <c r="H371" s="40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2:24" ht="15.75" customHeight="1" x14ac:dyDescent="0.25">
      <c r="B372" s="39"/>
      <c r="C372" s="40"/>
      <c r="D372" s="40"/>
      <c r="E372" s="6"/>
      <c r="F372" s="6"/>
      <c r="G372" s="6"/>
      <c r="H372" s="40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2:24" ht="15.75" customHeight="1" x14ac:dyDescent="0.25">
      <c r="B373" s="39"/>
      <c r="C373" s="40"/>
      <c r="D373" s="40"/>
      <c r="E373" s="6"/>
      <c r="F373" s="6"/>
      <c r="G373" s="6"/>
      <c r="H373" s="40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2:24" ht="15.75" customHeight="1" x14ac:dyDescent="0.25">
      <c r="B374" s="39"/>
      <c r="C374" s="40"/>
      <c r="D374" s="40"/>
      <c r="E374" s="6"/>
      <c r="F374" s="6"/>
      <c r="G374" s="6"/>
      <c r="H374" s="40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2:24" ht="15.75" customHeight="1" x14ac:dyDescent="0.25">
      <c r="B375" s="39"/>
      <c r="C375" s="40"/>
      <c r="D375" s="40"/>
      <c r="E375" s="6"/>
      <c r="F375" s="6"/>
      <c r="G375" s="6"/>
      <c r="H375" s="40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2:24" ht="15.75" customHeight="1" x14ac:dyDescent="0.25">
      <c r="B376" s="39"/>
      <c r="C376" s="40"/>
      <c r="D376" s="40"/>
      <c r="E376" s="6"/>
      <c r="F376" s="6"/>
      <c r="G376" s="6"/>
      <c r="H376" s="40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2:24" ht="15.75" customHeight="1" x14ac:dyDescent="0.25">
      <c r="B377" s="39"/>
      <c r="C377" s="40"/>
      <c r="D377" s="40"/>
      <c r="E377" s="6"/>
      <c r="F377" s="6"/>
      <c r="G377" s="6"/>
      <c r="H377" s="40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2:24" ht="15.75" customHeight="1" x14ac:dyDescent="0.25">
      <c r="B378" s="39"/>
      <c r="C378" s="40"/>
      <c r="D378" s="40"/>
      <c r="E378" s="6"/>
      <c r="F378" s="6"/>
      <c r="G378" s="6"/>
      <c r="H378" s="40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2:24" ht="15.75" customHeight="1" x14ac:dyDescent="0.25">
      <c r="B379" s="39"/>
      <c r="C379" s="40"/>
      <c r="D379" s="40"/>
      <c r="E379" s="6"/>
      <c r="F379" s="6"/>
      <c r="G379" s="6"/>
      <c r="H379" s="40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2:24" ht="15.75" customHeight="1" x14ac:dyDescent="0.25">
      <c r="B380" s="39"/>
      <c r="C380" s="40"/>
      <c r="D380" s="40"/>
      <c r="E380" s="6"/>
      <c r="F380" s="6"/>
      <c r="G380" s="6"/>
      <c r="H380" s="40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2:24" ht="15.75" customHeight="1" x14ac:dyDescent="0.25">
      <c r="B381" s="39"/>
      <c r="C381" s="40"/>
      <c r="D381" s="40"/>
      <c r="E381" s="6"/>
      <c r="F381" s="6"/>
      <c r="G381" s="6"/>
      <c r="H381" s="40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2:24" ht="15.75" customHeight="1" x14ac:dyDescent="0.25">
      <c r="B382" s="39"/>
      <c r="C382" s="40"/>
      <c r="D382" s="40"/>
      <c r="E382" s="6"/>
      <c r="F382" s="6"/>
      <c r="G382" s="6"/>
      <c r="H382" s="40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2:24" ht="15.75" customHeight="1" x14ac:dyDescent="0.25">
      <c r="B383" s="39"/>
      <c r="C383" s="40"/>
      <c r="D383" s="40"/>
      <c r="E383" s="6"/>
      <c r="F383" s="6"/>
      <c r="G383" s="6"/>
      <c r="H383" s="40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2:24" ht="15.75" customHeight="1" x14ac:dyDescent="0.25">
      <c r="B384" s="39"/>
      <c r="C384" s="40"/>
      <c r="D384" s="40"/>
      <c r="E384" s="6"/>
      <c r="F384" s="6"/>
      <c r="G384" s="6"/>
      <c r="H384" s="40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2:24" ht="15.75" customHeight="1" x14ac:dyDescent="0.25">
      <c r="B385" s="39"/>
      <c r="C385" s="40"/>
      <c r="D385" s="40"/>
      <c r="E385" s="6"/>
      <c r="F385" s="6"/>
      <c r="G385" s="6"/>
      <c r="H385" s="40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2:24" ht="15.75" customHeight="1" x14ac:dyDescent="0.25">
      <c r="B386" s="39"/>
      <c r="C386" s="40"/>
      <c r="D386" s="40"/>
      <c r="E386" s="6"/>
      <c r="F386" s="6"/>
      <c r="G386" s="6"/>
      <c r="H386" s="40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2:24" ht="15.75" customHeight="1" x14ac:dyDescent="0.25">
      <c r="B387" s="39"/>
      <c r="C387" s="40"/>
      <c r="D387" s="40"/>
      <c r="E387" s="6"/>
      <c r="F387" s="6"/>
      <c r="G387" s="6"/>
      <c r="H387" s="40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2:24" ht="15.75" customHeight="1" x14ac:dyDescent="0.25">
      <c r="B388" s="39"/>
      <c r="C388" s="40"/>
      <c r="D388" s="40"/>
      <c r="E388" s="6"/>
      <c r="F388" s="6"/>
      <c r="G388" s="6"/>
      <c r="H388" s="40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2:24" ht="15.75" customHeight="1" x14ac:dyDescent="0.25">
      <c r="B389" s="39"/>
      <c r="C389" s="40"/>
      <c r="D389" s="40"/>
      <c r="E389" s="6"/>
      <c r="F389" s="6"/>
      <c r="G389" s="6"/>
      <c r="H389" s="40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2:24" ht="15.75" customHeight="1" x14ac:dyDescent="0.25">
      <c r="B390" s="39"/>
      <c r="C390" s="40"/>
      <c r="D390" s="40"/>
      <c r="E390" s="6"/>
      <c r="F390" s="6"/>
      <c r="G390" s="6"/>
      <c r="H390" s="40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2:24" ht="15.75" customHeight="1" x14ac:dyDescent="0.25">
      <c r="B391" s="39"/>
      <c r="C391" s="40"/>
      <c r="D391" s="40"/>
      <c r="E391" s="6"/>
      <c r="F391" s="6"/>
      <c r="G391" s="6"/>
      <c r="H391" s="40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2:24" ht="15.75" customHeight="1" x14ac:dyDescent="0.25">
      <c r="B392" s="39"/>
      <c r="C392" s="40"/>
      <c r="D392" s="40"/>
      <c r="E392" s="6"/>
      <c r="F392" s="6"/>
      <c r="G392" s="6"/>
      <c r="H392" s="40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2:24" ht="15.75" customHeight="1" x14ac:dyDescent="0.25">
      <c r="B393" s="39"/>
      <c r="C393" s="40"/>
      <c r="D393" s="40"/>
      <c r="E393" s="6"/>
      <c r="F393" s="6"/>
      <c r="G393" s="6"/>
      <c r="H393" s="40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2:24" ht="15.75" customHeight="1" x14ac:dyDescent="0.25">
      <c r="B394" s="39"/>
      <c r="C394" s="40"/>
      <c r="D394" s="40"/>
      <c r="E394" s="6"/>
      <c r="F394" s="6"/>
      <c r="G394" s="6"/>
      <c r="H394" s="40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2:24" ht="15.75" customHeight="1" x14ac:dyDescent="0.25">
      <c r="B395" s="39"/>
      <c r="C395" s="40"/>
      <c r="D395" s="40"/>
      <c r="E395" s="6"/>
      <c r="F395" s="6"/>
      <c r="G395" s="6"/>
      <c r="H395" s="40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2:24" ht="15.75" customHeight="1" x14ac:dyDescent="0.25">
      <c r="B396" s="39"/>
      <c r="C396" s="40"/>
      <c r="D396" s="40"/>
      <c r="E396" s="6"/>
      <c r="F396" s="6"/>
      <c r="G396" s="6"/>
      <c r="H396" s="40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2:24" ht="15.75" customHeight="1" x14ac:dyDescent="0.25">
      <c r="B397" s="39"/>
      <c r="C397" s="40"/>
      <c r="D397" s="40"/>
      <c r="E397" s="6"/>
      <c r="F397" s="6"/>
      <c r="G397" s="6"/>
      <c r="H397" s="40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2:24" ht="15.75" customHeight="1" x14ac:dyDescent="0.25">
      <c r="B398" s="39"/>
      <c r="C398" s="40"/>
      <c r="D398" s="40"/>
      <c r="E398" s="6"/>
      <c r="F398" s="6"/>
      <c r="G398" s="6"/>
      <c r="H398" s="40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2:24" ht="15.75" customHeight="1" x14ac:dyDescent="0.25">
      <c r="B399" s="39"/>
      <c r="C399" s="40"/>
      <c r="D399" s="40"/>
      <c r="E399" s="6"/>
      <c r="F399" s="6"/>
      <c r="G399" s="6"/>
      <c r="H399" s="40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2:24" ht="15.75" customHeight="1" x14ac:dyDescent="0.25">
      <c r="B400" s="39"/>
      <c r="C400" s="40"/>
      <c r="D400" s="40"/>
      <c r="E400" s="6"/>
      <c r="F400" s="6"/>
      <c r="G400" s="6"/>
      <c r="H400" s="40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2:24" ht="15.75" customHeight="1" x14ac:dyDescent="0.25">
      <c r="B401" s="39"/>
      <c r="C401" s="40"/>
      <c r="D401" s="40"/>
      <c r="E401" s="6"/>
      <c r="F401" s="6"/>
      <c r="G401" s="6"/>
      <c r="H401" s="40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2:24" ht="15.75" customHeight="1" x14ac:dyDescent="0.25">
      <c r="B402" s="39"/>
      <c r="C402" s="40"/>
      <c r="D402" s="40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2:24" ht="15.75" customHeight="1" x14ac:dyDescent="0.25">
      <c r="B403" s="39"/>
      <c r="C403" s="40"/>
      <c r="D403" s="40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2:24" ht="15.75" customHeight="1" x14ac:dyDescent="0.25">
      <c r="B404" s="39"/>
      <c r="C404" s="40"/>
      <c r="D404" s="40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2:24" ht="15.75" customHeight="1" x14ac:dyDescent="0.25">
      <c r="B405" s="39"/>
      <c r="C405" s="40"/>
      <c r="D405" s="40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2:24" ht="15.75" customHeight="1" x14ac:dyDescent="0.25">
      <c r="B406" s="39"/>
      <c r="C406" s="40"/>
      <c r="D406" s="40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2:24" ht="15.75" customHeight="1" x14ac:dyDescent="0.25">
      <c r="B407" s="39"/>
      <c r="C407" s="40"/>
      <c r="D407" s="40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2:24" ht="15.75" customHeight="1" x14ac:dyDescent="0.25">
      <c r="B408" s="39"/>
      <c r="C408" s="40"/>
      <c r="D408" s="40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2:24" ht="15.75" customHeight="1" x14ac:dyDescent="0.25">
      <c r="B409" s="39"/>
      <c r="C409" s="40"/>
      <c r="D409" s="40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2:24" ht="15.75" customHeight="1" x14ac:dyDescent="0.25">
      <c r="B410" s="39"/>
      <c r="C410" s="40"/>
      <c r="D410" s="40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2:24" ht="15.75" customHeight="1" x14ac:dyDescent="0.25">
      <c r="B411" s="39"/>
      <c r="C411" s="40"/>
      <c r="D411" s="40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2:24" ht="15.75" customHeight="1" x14ac:dyDescent="0.25">
      <c r="B412" s="39"/>
      <c r="C412" s="40"/>
      <c r="D412" s="40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2:24" ht="15.75" customHeight="1" x14ac:dyDescent="0.25">
      <c r="B413" s="39"/>
      <c r="C413" s="40"/>
      <c r="D413" s="40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2:24" ht="15.75" customHeight="1" x14ac:dyDescent="0.25">
      <c r="B414" s="39"/>
      <c r="C414" s="40"/>
      <c r="D414" s="40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2:24" ht="15.75" customHeight="1" x14ac:dyDescent="0.25">
      <c r="B415" s="39"/>
      <c r="C415" s="40"/>
      <c r="D415" s="40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2:24" ht="15.75" customHeight="1" x14ac:dyDescent="0.25">
      <c r="B416" s="39"/>
      <c r="C416" s="40"/>
      <c r="D416" s="40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2:24" ht="15.75" customHeight="1" x14ac:dyDescent="0.25">
      <c r="B417" s="39"/>
      <c r="C417" s="40"/>
      <c r="D417" s="40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2:24" ht="15.75" customHeight="1" x14ac:dyDescent="0.25">
      <c r="B418" s="39"/>
      <c r="C418" s="40"/>
      <c r="D418" s="40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2:24" ht="15.75" customHeight="1" x14ac:dyDescent="0.25">
      <c r="B419" s="39"/>
      <c r="C419" s="40"/>
      <c r="D419" s="40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2:24" ht="15.75" customHeight="1" x14ac:dyDescent="0.25">
      <c r="B420" s="39"/>
      <c r="C420" s="40"/>
      <c r="D420" s="40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2:24" ht="15.75" customHeight="1" x14ac:dyDescent="0.25">
      <c r="B421" s="39"/>
      <c r="C421" s="40"/>
      <c r="D421" s="40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2:24" ht="15.75" customHeight="1" x14ac:dyDescent="0.25">
      <c r="B422" s="39"/>
      <c r="C422" s="40"/>
      <c r="D422" s="40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2:24" ht="15.75" customHeight="1" x14ac:dyDescent="0.25">
      <c r="B423" s="39"/>
      <c r="C423" s="40"/>
      <c r="D423" s="40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2:24" ht="15.75" customHeight="1" x14ac:dyDescent="0.25">
      <c r="B424" s="39"/>
      <c r="C424" s="40"/>
      <c r="D424" s="40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2:24" ht="15.75" customHeight="1" x14ac:dyDescent="0.25">
      <c r="B425" s="39"/>
      <c r="C425" s="40"/>
      <c r="D425" s="40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2:24" ht="15.75" customHeight="1" x14ac:dyDescent="0.25">
      <c r="B426" s="39"/>
      <c r="C426" s="40"/>
      <c r="D426" s="40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2:24" ht="15.75" customHeight="1" x14ac:dyDescent="0.25">
      <c r="B427" s="39"/>
      <c r="C427" s="40"/>
      <c r="D427" s="40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2:24" ht="15.75" customHeight="1" x14ac:dyDescent="0.25">
      <c r="B428" s="39"/>
      <c r="C428" s="40"/>
      <c r="D428" s="40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2:24" ht="15.75" customHeight="1" x14ac:dyDescent="0.25">
      <c r="B429" s="39"/>
      <c r="C429" s="40"/>
      <c r="D429" s="40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2:24" ht="15.75" customHeight="1" x14ac:dyDescent="0.25">
      <c r="B430" s="39"/>
      <c r="C430" s="40"/>
      <c r="D430" s="40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2:24" ht="15.75" customHeight="1" x14ac:dyDescent="0.25">
      <c r="B431" s="39"/>
      <c r="C431" s="40"/>
      <c r="D431" s="40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2:24" ht="15.75" customHeight="1" x14ac:dyDescent="0.25">
      <c r="B432" s="39"/>
      <c r="C432" s="40"/>
      <c r="D432" s="40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2:24" ht="15.75" customHeight="1" x14ac:dyDescent="0.25">
      <c r="B433" s="39"/>
      <c r="C433" s="40"/>
      <c r="D433" s="40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2:24" ht="15.75" customHeight="1" x14ac:dyDescent="0.25">
      <c r="B434" s="39"/>
      <c r="C434" s="40"/>
      <c r="D434" s="40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2:24" ht="15.75" customHeight="1" x14ac:dyDescent="0.25">
      <c r="B435" s="39"/>
      <c r="C435" s="40"/>
      <c r="D435" s="40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2:24" ht="15.75" customHeight="1" x14ac:dyDescent="0.25">
      <c r="B436" s="39"/>
      <c r="C436" s="40"/>
      <c r="D436" s="40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2:24" ht="15.75" customHeight="1" x14ac:dyDescent="0.25">
      <c r="B437" s="39"/>
      <c r="C437" s="40"/>
      <c r="D437" s="40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2:24" ht="15.75" customHeight="1" x14ac:dyDescent="0.25">
      <c r="B438" s="39"/>
      <c r="C438" s="40"/>
      <c r="D438" s="40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2:24" ht="15.75" customHeight="1" x14ac:dyDescent="0.25">
      <c r="B439" s="39"/>
      <c r="C439" s="40"/>
      <c r="D439" s="40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2:24" ht="15.75" customHeight="1" x14ac:dyDescent="0.25">
      <c r="B440" s="39"/>
      <c r="C440" s="40"/>
      <c r="D440" s="40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2:24" ht="15.75" customHeight="1" x14ac:dyDescent="0.25">
      <c r="B441" s="39"/>
      <c r="C441" s="40"/>
      <c r="D441" s="40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2:24" ht="15.75" customHeight="1" x14ac:dyDescent="0.25">
      <c r="B442" s="39"/>
      <c r="C442" s="40"/>
      <c r="D442" s="40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2:24" ht="15.75" customHeight="1" x14ac:dyDescent="0.25">
      <c r="B443" s="39"/>
      <c r="C443" s="40"/>
      <c r="D443" s="40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2:24" ht="15.75" customHeight="1" x14ac:dyDescent="0.25">
      <c r="B444" s="39"/>
      <c r="C444" s="40"/>
      <c r="D444" s="40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2:24" ht="15.75" customHeight="1" x14ac:dyDescent="0.25">
      <c r="B445" s="39"/>
      <c r="C445" s="40"/>
      <c r="D445" s="40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2:24" ht="15.75" customHeight="1" x14ac:dyDescent="0.25">
      <c r="B446" s="39"/>
      <c r="C446" s="40"/>
      <c r="D446" s="40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2:24" ht="15.75" customHeight="1" x14ac:dyDescent="0.25">
      <c r="B447" s="39"/>
      <c r="C447" s="40"/>
      <c r="D447" s="40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2:24" ht="15.75" customHeight="1" x14ac:dyDescent="0.25">
      <c r="B448" s="39"/>
      <c r="C448" s="40"/>
      <c r="D448" s="40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2:24" ht="15.75" customHeight="1" x14ac:dyDescent="0.25">
      <c r="B449" s="39"/>
      <c r="C449" s="40"/>
      <c r="D449" s="40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2:24" ht="15.75" customHeight="1" x14ac:dyDescent="0.25">
      <c r="B450" s="39"/>
      <c r="C450" s="40"/>
      <c r="D450" s="40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2:24" ht="15.75" customHeight="1" x14ac:dyDescent="0.25">
      <c r="B451" s="39"/>
      <c r="C451" s="40"/>
      <c r="D451" s="40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2:24" ht="15.75" customHeight="1" x14ac:dyDescent="0.25">
      <c r="B452" s="39"/>
      <c r="C452" s="40"/>
      <c r="D452" s="40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2:24" ht="15.75" customHeight="1" x14ac:dyDescent="0.25">
      <c r="B453" s="39"/>
      <c r="C453" s="40"/>
      <c r="D453" s="40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2:24" ht="15.75" customHeight="1" x14ac:dyDescent="0.25">
      <c r="B454" s="39"/>
      <c r="C454" s="40"/>
      <c r="D454" s="40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2:24" ht="15.75" customHeight="1" x14ac:dyDescent="0.25">
      <c r="B455" s="39"/>
      <c r="C455" s="40"/>
      <c r="D455" s="40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2:24" ht="15.75" customHeight="1" x14ac:dyDescent="0.25">
      <c r="B456" s="39"/>
      <c r="C456" s="40"/>
      <c r="D456" s="40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2:24" ht="15.75" customHeight="1" x14ac:dyDescent="0.25">
      <c r="B457" s="39"/>
      <c r="C457" s="40"/>
      <c r="D457" s="40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2:24" ht="15.75" customHeight="1" x14ac:dyDescent="0.25">
      <c r="B458" s="39"/>
      <c r="C458" s="40"/>
      <c r="D458" s="40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2:24" ht="15.75" customHeight="1" x14ac:dyDescent="0.25">
      <c r="B459" s="39"/>
      <c r="C459" s="40"/>
      <c r="D459" s="40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2:24" ht="15.75" customHeight="1" x14ac:dyDescent="0.25">
      <c r="B460" s="39"/>
      <c r="C460" s="40"/>
      <c r="D460" s="40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2:24" ht="15.75" customHeight="1" x14ac:dyDescent="0.25">
      <c r="B461" s="39"/>
      <c r="C461" s="40"/>
      <c r="D461" s="40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2:24" ht="15.75" customHeight="1" x14ac:dyDescent="0.25">
      <c r="B462" s="39"/>
      <c r="C462" s="40"/>
      <c r="D462" s="40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2:24" ht="15.75" customHeight="1" x14ac:dyDescent="0.25">
      <c r="B463" s="39"/>
      <c r="C463" s="40"/>
      <c r="D463" s="40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2:24" ht="15.75" customHeight="1" x14ac:dyDescent="0.25">
      <c r="B464" s="39"/>
      <c r="C464" s="40"/>
      <c r="D464" s="40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2:24" ht="15.75" customHeight="1" x14ac:dyDescent="0.25">
      <c r="B465" s="39"/>
      <c r="C465" s="40"/>
      <c r="D465" s="40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2:24" ht="15.75" customHeight="1" x14ac:dyDescent="0.25">
      <c r="B466" s="39"/>
      <c r="C466" s="40"/>
      <c r="D466" s="40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2:24" ht="15.75" customHeight="1" x14ac:dyDescent="0.25">
      <c r="B467" s="39"/>
      <c r="C467" s="40"/>
      <c r="D467" s="40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2:24" ht="15.75" customHeight="1" x14ac:dyDescent="0.25">
      <c r="B468" s="39"/>
      <c r="C468" s="40"/>
      <c r="D468" s="40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2:24" ht="15.75" customHeight="1" x14ac:dyDescent="0.25">
      <c r="B469" s="39"/>
      <c r="C469" s="40"/>
      <c r="D469" s="40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2:24" ht="15.75" customHeight="1" x14ac:dyDescent="0.25">
      <c r="B470" s="39"/>
      <c r="C470" s="40"/>
      <c r="D470" s="40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2:24" ht="15.75" customHeight="1" x14ac:dyDescent="0.25">
      <c r="B471" s="39"/>
      <c r="C471" s="40"/>
      <c r="D471" s="40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2:24" ht="15.75" customHeight="1" x14ac:dyDescent="0.25">
      <c r="B472" s="39"/>
      <c r="C472" s="40"/>
      <c r="D472" s="40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2:24" ht="15.75" customHeight="1" x14ac:dyDescent="0.25">
      <c r="B473" s="39"/>
      <c r="C473" s="40"/>
      <c r="D473" s="40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2:24" ht="15.75" customHeight="1" x14ac:dyDescent="0.25">
      <c r="B474" s="39"/>
      <c r="C474" s="40"/>
      <c r="D474" s="40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2:24" ht="15.75" customHeight="1" x14ac:dyDescent="0.25">
      <c r="B475" s="39"/>
      <c r="C475" s="40"/>
      <c r="D475" s="40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2:24" ht="15.75" customHeight="1" x14ac:dyDescent="0.25">
      <c r="B476" s="39"/>
      <c r="C476" s="40"/>
      <c r="D476" s="40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2:24" ht="15.75" customHeight="1" x14ac:dyDescent="0.25">
      <c r="B477" s="39"/>
      <c r="C477" s="40"/>
      <c r="D477" s="40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2:24" ht="15.75" customHeight="1" x14ac:dyDescent="0.25">
      <c r="B478" s="39"/>
      <c r="C478" s="40"/>
      <c r="D478" s="40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2:24" ht="15.75" customHeight="1" x14ac:dyDescent="0.25">
      <c r="B479" s="39"/>
      <c r="C479" s="40"/>
      <c r="D479" s="40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2:24" ht="15.75" customHeight="1" x14ac:dyDescent="0.25">
      <c r="B480" s="39"/>
      <c r="C480" s="40"/>
      <c r="D480" s="40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2:24" ht="15.75" customHeight="1" x14ac:dyDescent="0.25">
      <c r="B481" s="39"/>
      <c r="C481" s="40"/>
      <c r="D481" s="40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2:24" ht="15.75" customHeight="1" x14ac:dyDescent="0.25">
      <c r="B482" s="39"/>
      <c r="C482" s="40"/>
      <c r="D482" s="40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2:24" ht="15.75" customHeight="1" x14ac:dyDescent="0.25">
      <c r="B483" s="39"/>
      <c r="C483" s="40"/>
      <c r="D483" s="40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2:24" ht="15.75" customHeight="1" x14ac:dyDescent="0.25">
      <c r="B484" s="39"/>
      <c r="C484" s="40"/>
      <c r="D484" s="40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2:24" ht="15.75" customHeight="1" x14ac:dyDescent="0.25">
      <c r="B485" s="39"/>
      <c r="C485" s="40"/>
      <c r="D485" s="40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2:24" ht="15.75" customHeight="1" x14ac:dyDescent="0.25">
      <c r="B486" s="39"/>
      <c r="C486" s="40"/>
      <c r="D486" s="40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2:24" ht="15.75" customHeight="1" x14ac:dyDescent="0.25">
      <c r="B487" s="39"/>
      <c r="C487" s="40"/>
      <c r="D487" s="40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2:24" ht="15.75" customHeight="1" x14ac:dyDescent="0.25">
      <c r="B488" s="39"/>
      <c r="C488" s="40"/>
      <c r="D488" s="40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2:24" ht="15.75" customHeight="1" x14ac:dyDescent="0.25">
      <c r="B489" s="39"/>
      <c r="C489" s="40"/>
      <c r="D489" s="40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2:24" ht="15.75" customHeight="1" x14ac:dyDescent="0.25">
      <c r="B490" s="39"/>
      <c r="C490" s="40"/>
      <c r="D490" s="40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2:24" ht="15.75" customHeight="1" x14ac:dyDescent="0.25">
      <c r="B491" s="39"/>
      <c r="C491" s="40"/>
      <c r="D491" s="40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2:24" ht="15.75" customHeight="1" x14ac:dyDescent="0.25">
      <c r="B492" s="39"/>
      <c r="C492" s="40"/>
      <c r="D492" s="40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2:24" ht="15.75" customHeight="1" x14ac:dyDescent="0.25">
      <c r="B493" s="39"/>
      <c r="C493" s="40"/>
      <c r="D493" s="40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2:24" ht="15.75" customHeight="1" x14ac:dyDescent="0.25">
      <c r="B494" s="39"/>
      <c r="C494" s="40"/>
      <c r="D494" s="40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2:24" ht="15.75" customHeight="1" x14ac:dyDescent="0.25">
      <c r="B495" s="39"/>
      <c r="C495" s="40"/>
      <c r="D495" s="40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2:24" ht="15.75" customHeight="1" x14ac:dyDescent="0.25">
      <c r="B496" s="39"/>
      <c r="C496" s="40"/>
      <c r="D496" s="40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2:24" ht="15.75" customHeight="1" x14ac:dyDescent="0.25">
      <c r="B497" s="39"/>
      <c r="C497" s="40"/>
      <c r="D497" s="40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2:24" ht="15.75" customHeight="1" x14ac:dyDescent="0.25">
      <c r="B498" s="39"/>
      <c r="C498" s="40"/>
      <c r="D498" s="40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2:24" ht="15.75" customHeight="1" x14ac:dyDescent="0.25">
      <c r="B499" s="39"/>
      <c r="C499" s="40"/>
      <c r="D499" s="40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2:24" ht="15.75" customHeight="1" x14ac:dyDescent="0.25">
      <c r="B500" s="39"/>
      <c r="C500" s="40"/>
      <c r="D500" s="40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2:24" ht="15.75" customHeight="1" x14ac:dyDescent="0.25">
      <c r="B501" s="39"/>
      <c r="C501" s="40"/>
      <c r="D501" s="40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2:24" ht="15.75" customHeight="1" x14ac:dyDescent="0.25">
      <c r="B502" s="39"/>
      <c r="C502" s="40"/>
      <c r="D502" s="40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2:24" ht="15.75" customHeight="1" x14ac:dyDescent="0.25">
      <c r="B503" s="39"/>
      <c r="C503" s="40"/>
      <c r="D503" s="40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2:24" ht="15.75" customHeight="1" x14ac:dyDescent="0.25">
      <c r="B504" s="39"/>
      <c r="C504" s="40"/>
      <c r="D504" s="40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2:24" ht="15.75" customHeight="1" x14ac:dyDescent="0.25">
      <c r="B505" s="39"/>
      <c r="C505" s="40"/>
      <c r="D505" s="40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2:24" ht="15.75" customHeight="1" x14ac:dyDescent="0.25">
      <c r="B506" s="39"/>
      <c r="C506" s="40"/>
      <c r="D506" s="40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2:24" ht="15.75" customHeight="1" x14ac:dyDescent="0.25">
      <c r="B507" s="39"/>
      <c r="C507" s="40"/>
      <c r="D507" s="40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2:24" ht="15.75" customHeight="1" x14ac:dyDescent="0.25">
      <c r="B508" s="39"/>
      <c r="C508" s="40"/>
      <c r="D508" s="40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2:24" ht="15.75" customHeight="1" x14ac:dyDescent="0.25">
      <c r="B509" s="39"/>
      <c r="C509" s="40"/>
      <c r="D509" s="40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2:24" ht="15.75" customHeight="1" x14ac:dyDescent="0.25">
      <c r="B510" s="39"/>
      <c r="C510" s="40"/>
      <c r="D510" s="40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2:24" ht="15.75" customHeight="1" x14ac:dyDescent="0.25">
      <c r="B511" s="39"/>
      <c r="C511" s="40"/>
      <c r="D511" s="40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2:24" ht="15.75" customHeight="1" x14ac:dyDescent="0.25">
      <c r="B512" s="39"/>
      <c r="C512" s="40"/>
      <c r="D512" s="40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2:24" ht="15.75" customHeight="1" x14ac:dyDescent="0.25">
      <c r="B513" s="39"/>
      <c r="C513" s="40"/>
      <c r="D513" s="40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2:24" ht="15.75" customHeight="1" x14ac:dyDescent="0.25">
      <c r="B514" s="39"/>
      <c r="C514" s="40"/>
      <c r="D514" s="40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2:24" ht="15.75" customHeight="1" x14ac:dyDescent="0.25">
      <c r="B515" s="39"/>
      <c r="C515" s="40"/>
      <c r="D515" s="40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2:24" ht="15.75" customHeight="1" x14ac:dyDescent="0.25">
      <c r="B516" s="39"/>
      <c r="C516" s="40"/>
      <c r="D516" s="40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2:24" ht="15.75" customHeight="1" x14ac:dyDescent="0.25">
      <c r="B517" s="39"/>
      <c r="C517" s="40"/>
      <c r="D517" s="40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2:24" ht="15.75" customHeight="1" x14ac:dyDescent="0.25">
      <c r="B518" s="39"/>
      <c r="C518" s="40"/>
      <c r="D518" s="40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2:24" ht="15.75" customHeight="1" x14ac:dyDescent="0.25">
      <c r="B519" s="39"/>
      <c r="C519" s="40"/>
      <c r="D519" s="40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2:24" ht="15.75" customHeight="1" x14ac:dyDescent="0.25">
      <c r="B520" s="39"/>
      <c r="C520" s="40"/>
      <c r="D520" s="40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2:24" ht="15.75" customHeight="1" x14ac:dyDescent="0.25">
      <c r="B521" s="39"/>
      <c r="C521" s="40"/>
      <c r="D521" s="40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2:24" ht="15.75" customHeight="1" x14ac:dyDescent="0.25">
      <c r="B522" s="39"/>
      <c r="C522" s="40"/>
      <c r="D522" s="40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2:24" ht="15.75" customHeight="1" x14ac:dyDescent="0.25">
      <c r="B523" s="39"/>
      <c r="C523" s="40"/>
      <c r="D523" s="40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2:24" ht="15.75" customHeight="1" x14ac:dyDescent="0.25">
      <c r="B524" s="39"/>
      <c r="C524" s="40"/>
      <c r="D524" s="40"/>
      <c r="E524" s="6"/>
      <c r="F524" s="6"/>
      <c r="G524" s="6"/>
      <c r="H524" s="40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2:24" ht="15.75" customHeight="1" x14ac:dyDescent="0.25">
      <c r="B525" s="39"/>
      <c r="C525" s="40"/>
      <c r="D525" s="40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2:24" ht="15.75" customHeight="1" x14ac:dyDescent="0.25">
      <c r="B526" s="39"/>
      <c r="C526" s="40"/>
      <c r="D526" s="40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2:24" ht="15.75" customHeight="1" x14ac:dyDescent="0.25">
      <c r="B527" s="39"/>
      <c r="C527" s="40"/>
      <c r="D527" s="40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2:24" ht="15.75" customHeight="1" x14ac:dyDescent="0.25">
      <c r="B528" s="39"/>
      <c r="C528" s="40"/>
      <c r="D528" s="40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2:24" ht="15.75" customHeight="1" x14ac:dyDescent="0.25">
      <c r="B529" s="39"/>
      <c r="C529" s="40"/>
      <c r="D529" s="40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2:24" ht="15.75" customHeight="1" x14ac:dyDescent="0.25">
      <c r="B530" s="39"/>
      <c r="C530" s="40"/>
      <c r="D530" s="40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2:24" ht="15.75" customHeight="1" x14ac:dyDescent="0.25">
      <c r="B531" s="39"/>
      <c r="C531" s="40"/>
      <c r="D531" s="40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2:24" ht="15.75" customHeight="1" x14ac:dyDescent="0.25">
      <c r="B532" s="39"/>
      <c r="C532" s="40"/>
      <c r="D532" s="40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2:24" ht="15.75" customHeight="1" x14ac:dyDescent="0.25">
      <c r="B533" s="39"/>
      <c r="C533" s="40"/>
      <c r="D533" s="40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2:24" ht="15.75" customHeight="1" x14ac:dyDescent="0.25">
      <c r="B534" s="39"/>
      <c r="C534" s="40"/>
      <c r="D534" s="40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2:24" ht="15.75" customHeight="1" x14ac:dyDescent="0.25">
      <c r="B535" s="39"/>
      <c r="C535" s="40"/>
      <c r="D535" s="40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2:24" ht="15.75" customHeight="1" x14ac:dyDescent="0.25">
      <c r="B536" s="39"/>
      <c r="C536" s="40"/>
      <c r="D536" s="40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2:24" ht="15.75" customHeight="1" x14ac:dyDescent="0.25">
      <c r="B537" s="39"/>
      <c r="C537" s="40"/>
      <c r="D537" s="40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2:24" ht="15.75" customHeight="1" x14ac:dyDescent="0.25">
      <c r="B538" s="39"/>
      <c r="C538" s="40"/>
      <c r="D538" s="40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2:24" ht="15.75" customHeight="1" x14ac:dyDescent="0.25">
      <c r="B539" s="39"/>
      <c r="C539" s="40"/>
      <c r="D539" s="40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2:24" ht="15.75" customHeight="1" x14ac:dyDescent="0.25">
      <c r="B540" s="39"/>
      <c r="C540" s="40"/>
      <c r="D540" s="40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2:24" ht="15.75" customHeight="1" x14ac:dyDescent="0.25">
      <c r="B541" s="39"/>
      <c r="C541" s="40"/>
      <c r="D541" s="40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2:24" ht="15.75" customHeight="1" x14ac:dyDescent="0.25">
      <c r="B542" s="39"/>
      <c r="C542" s="40"/>
      <c r="D542" s="40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2:24" ht="15.75" customHeight="1" x14ac:dyDescent="0.25">
      <c r="B543" s="39"/>
      <c r="C543" s="40"/>
      <c r="D543" s="40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2:24" ht="15.75" customHeight="1" x14ac:dyDescent="0.25">
      <c r="B544" s="39"/>
      <c r="C544" s="40"/>
      <c r="D544" s="40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2:24" ht="15.75" customHeight="1" x14ac:dyDescent="0.25">
      <c r="B545" s="39"/>
      <c r="C545" s="40"/>
      <c r="D545" s="40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2:24" ht="15.75" customHeight="1" x14ac:dyDescent="0.25">
      <c r="B546" s="39"/>
      <c r="C546" s="40"/>
      <c r="D546" s="40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2:24" ht="15.75" customHeight="1" x14ac:dyDescent="0.25">
      <c r="B547" s="39"/>
      <c r="C547" s="40"/>
      <c r="D547" s="40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2:24" ht="15.75" customHeight="1" x14ac:dyDescent="0.25">
      <c r="B548" s="39"/>
      <c r="C548" s="40"/>
      <c r="D548" s="40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2:24" ht="15.75" customHeight="1" x14ac:dyDescent="0.25">
      <c r="B549" s="39"/>
      <c r="C549" s="40"/>
      <c r="D549" s="40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2:24" ht="15.75" customHeight="1" x14ac:dyDescent="0.25">
      <c r="B550" s="39"/>
      <c r="C550" s="40"/>
      <c r="D550" s="40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2:24" ht="15.75" customHeight="1" x14ac:dyDescent="0.25">
      <c r="B551" s="39"/>
      <c r="C551" s="40"/>
      <c r="D551" s="40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2:24" ht="15.75" customHeight="1" x14ac:dyDescent="0.25">
      <c r="B552" s="39"/>
      <c r="C552" s="40"/>
      <c r="D552" s="40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2:24" ht="15.75" customHeight="1" x14ac:dyDescent="0.25">
      <c r="B553" s="39"/>
      <c r="C553" s="40"/>
      <c r="D553" s="40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2:24" ht="15.75" customHeight="1" x14ac:dyDescent="0.25">
      <c r="B554" s="39"/>
      <c r="C554" s="40"/>
      <c r="D554" s="40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2:24" ht="15.75" customHeight="1" x14ac:dyDescent="0.25">
      <c r="B555" s="39"/>
      <c r="C555" s="40"/>
      <c r="D555" s="40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2:24" ht="15.75" customHeight="1" x14ac:dyDescent="0.25">
      <c r="B556" s="39"/>
      <c r="C556" s="40"/>
      <c r="D556" s="40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2:24" ht="15.75" customHeight="1" x14ac:dyDescent="0.25">
      <c r="B557" s="39"/>
      <c r="C557" s="40"/>
      <c r="D557" s="40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2:24" ht="15.75" customHeight="1" x14ac:dyDescent="0.25">
      <c r="B558" s="39"/>
      <c r="C558" s="40"/>
      <c r="D558" s="40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2:24" ht="15.75" customHeight="1" x14ac:dyDescent="0.25">
      <c r="B559" s="39"/>
      <c r="C559" s="40"/>
      <c r="D559" s="40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2:24" ht="15.75" customHeight="1" x14ac:dyDescent="0.25">
      <c r="B560" s="39"/>
      <c r="C560" s="40"/>
      <c r="D560" s="40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2:24" ht="15.75" customHeight="1" x14ac:dyDescent="0.25">
      <c r="B561" s="39"/>
      <c r="C561" s="40"/>
      <c r="D561" s="40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2:24" ht="15.75" customHeight="1" x14ac:dyDescent="0.25">
      <c r="B562" s="39"/>
      <c r="C562" s="40"/>
      <c r="D562" s="40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2:24" ht="15.75" customHeight="1" x14ac:dyDescent="0.25">
      <c r="B563" s="39"/>
      <c r="C563" s="40"/>
      <c r="D563" s="40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2:24" ht="15.75" customHeight="1" x14ac:dyDescent="0.25">
      <c r="B564" s="39"/>
      <c r="C564" s="40"/>
      <c r="D564" s="40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2:24" ht="15.75" customHeight="1" x14ac:dyDescent="0.25">
      <c r="B565" s="39"/>
      <c r="C565" s="40"/>
      <c r="D565" s="40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2:24" ht="15.75" customHeight="1" x14ac:dyDescent="0.25">
      <c r="B566" s="39"/>
      <c r="C566" s="40"/>
      <c r="D566" s="40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2:24" ht="15.75" customHeight="1" x14ac:dyDescent="0.25">
      <c r="B567" s="39"/>
      <c r="C567" s="40"/>
      <c r="D567" s="40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2:24" ht="15.75" customHeight="1" x14ac:dyDescent="0.25">
      <c r="B568" s="39"/>
      <c r="C568" s="40"/>
      <c r="D568" s="40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2:24" ht="15.75" customHeight="1" x14ac:dyDescent="0.25">
      <c r="B569" s="39"/>
      <c r="C569" s="40"/>
      <c r="D569" s="40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2:24" ht="15.75" customHeight="1" x14ac:dyDescent="0.25">
      <c r="B570" s="39"/>
      <c r="C570" s="40"/>
      <c r="D570" s="40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2:24" ht="15.75" customHeight="1" x14ac:dyDescent="0.25">
      <c r="B571" s="39"/>
      <c r="C571" s="40"/>
      <c r="D571" s="40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2:24" ht="15.75" customHeight="1" x14ac:dyDescent="0.25">
      <c r="B572" s="39"/>
      <c r="C572" s="40"/>
      <c r="D572" s="40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2:24" ht="15.75" customHeight="1" x14ac:dyDescent="0.25">
      <c r="B573" s="39"/>
      <c r="C573" s="40"/>
      <c r="D573" s="40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2:24" ht="15.75" customHeight="1" x14ac:dyDescent="0.25">
      <c r="B574" s="39"/>
      <c r="C574" s="40"/>
      <c r="D574" s="40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2:24" ht="15.75" customHeight="1" x14ac:dyDescent="0.25">
      <c r="B575" s="39"/>
      <c r="C575" s="40"/>
      <c r="D575" s="40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2:24" ht="15.75" customHeight="1" x14ac:dyDescent="0.25">
      <c r="B576" s="39"/>
      <c r="C576" s="40"/>
      <c r="D576" s="40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2:24" ht="15.75" customHeight="1" x14ac:dyDescent="0.25">
      <c r="B577" s="39"/>
      <c r="C577" s="40"/>
      <c r="D577" s="40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2:24" ht="15.75" customHeight="1" x14ac:dyDescent="0.25">
      <c r="B578" s="39"/>
      <c r="C578" s="40"/>
      <c r="D578" s="40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2:24" ht="15.75" customHeight="1" x14ac:dyDescent="0.25">
      <c r="B579" s="39"/>
      <c r="C579" s="40"/>
      <c r="D579" s="40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2:24" ht="15.75" customHeight="1" x14ac:dyDescent="0.25">
      <c r="B580" s="39"/>
      <c r="C580" s="40"/>
      <c r="D580" s="40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2:24" ht="15.75" customHeight="1" x14ac:dyDescent="0.25">
      <c r="B581" s="39"/>
      <c r="C581" s="40"/>
      <c r="D581" s="40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2:24" ht="15.75" customHeight="1" x14ac:dyDescent="0.25">
      <c r="B582" s="39"/>
      <c r="C582" s="40"/>
      <c r="D582" s="40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2:24" ht="15.75" customHeight="1" x14ac:dyDescent="0.25">
      <c r="B583" s="39"/>
      <c r="C583" s="40"/>
      <c r="D583" s="40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2:24" ht="15.75" customHeight="1" x14ac:dyDescent="0.25">
      <c r="B584" s="39"/>
      <c r="C584" s="40"/>
      <c r="D584" s="40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2:24" ht="15.75" customHeight="1" x14ac:dyDescent="0.25">
      <c r="B585" s="39"/>
      <c r="C585" s="40"/>
      <c r="D585" s="40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2:24" ht="15.75" customHeight="1" x14ac:dyDescent="0.25">
      <c r="B586" s="39"/>
      <c r="C586" s="40"/>
      <c r="D586" s="40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2:24" ht="15.75" customHeight="1" x14ac:dyDescent="0.25">
      <c r="B587" s="39"/>
      <c r="C587" s="40"/>
      <c r="D587" s="40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2:24" ht="15.75" customHeight="1" x14ac:dyDescent="0.25">
      <c r="B588" s="39"/>
      <c r="C588" s="40"/>
      <c r="D588" s="40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2:24" ht="15.75" customHeight="1" x14ac:dyDescent="0.25">
      <c r="B589" s="39"/>
      <c r="C589" s="40"/>
      <c r="D589" s="40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2:24" ht="15.75" customHeight="1" x14ac:dyDescent="0.25">
      <c r="B590" s="39"/>
      <c r="C590" s="40"/>
      <c r="D590" s="40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2:24" ht="15.75" customHeight="1" x14ac:dyDescent="0.25">
      <c r="B591" s="39"/>
      <c r="C591" s="40"/>
      <c r="D591" s="40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2:24" ht="15.75" customHeight="1" x14ac:dyDescent="0.25">
      <c r="B592" s="39"/>
      <c r="C592" s="40"/>
      <c r="D592" s="40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2:24" ht="15.75" customHeight="1" x14ac:dyDescent="0.25">
      <c r="B593" s="39"/>
      <c r="C593" s="40"/>
      <c r="D593" s="40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2:24" ht="15.75" customHeight="1" x14ac:dyDescent="0.25">
      <c r="B594" s="39"/>
      <c r="C594" s="40"/>
      <c r="D594" s="40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2:24" ht="15.75" customHeight="1" x14ac:dyDescent="0.25">
      <c r="B595" s="39"/>
      <c r="C595" s="40"/>
      <c r="D595" s="40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2:24" ht="15.75" customHeight="1" x14ac:dyDescent="0.25">
      <c r="B596" s="39"/>
      <c r="C596" s="40"/>
      <c r="D596" s="40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2:24" ht="15.75" customHeight="1" x14ac:dyDescent="0.25">
      <c r="B597" s="39"/>
      <c r="C597" s="40"/>
      <c r="D597" s="40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2:24" ht="15.75" customHeight="1" x14ac:dyDescent="0.25">
      <c r="B598" s="39"/>
      <c r="C598" s="40"/>
      <c r="D598" s="40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2:24" ht="15.75" customHeight="1" x14ac:dyDescent="0.25">
      <c r="B599" s="39"/>
      <c r="C599" s="40"/>
      <c r="D599" s="40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2:24" ht="15.75" customHeight="1" x14ac:dyDescent="0.25">
      <c r="B600" s="39"/>
      <c r="C600" s="40"/>
      <c r="D600" s="40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2:24" ht="15.75" customHeight="1" x14ac:dyDescent="0.25">
      <c r="B601" s="39"/>
      <c r="C601" s="40"/>
      <c r="D601" s="40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2:24" ht="15.75" customHeight="1" x14ac:dyDescent="0.25">
      <c r="B602" s="39"/>
      <c r="C602" s="40"/>
      <c r="D602" s="40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2:24" ht="15.75" customHeight="1" x14ac:dyDescent="0.25">
      <c r="B603" s="39"/>
      <c r="C603" s="40"/>
      <c r="D603" s="40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2:24" ht="15.75" customHeight="1" x14ac:dyDescent="0.25">
      <c r="B604" s="39"/>
      <c r="C604" s="40"/>
      <c r="D604" s="40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2:24" ht="15.75" customHeight="1" x14ac:dyDescent="0.25">
      <c r="B605" s="39"/>
      <c r="C605" s="40"/>
      <c r="D605" s="40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2:24" ht="15.75" customHeight="1" x14ac:dyDescent="0.25">
      <c r="B606" s="39"/>
      <c r="C606" s="40"/>
      <c r="D606" s="40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2:24" ht="15.75" customHeight="1" x14ac:dyDescent="0.25">
      <c r="B607" s="39"/>
      <c r="C607" s="40"/>
      <c r="D607" s="40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2:24" ht="15.75" customHeight="1" x14ac:dyDescent="0.25">
      <c r="B608" s="39"/>
      <c r="C608" s="40"/>
      <c r="D608" s="40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2:24" ht="15.75" customHeight="1" x14ac:dyDescent="0.25">
      <c r="B609" s="39"/>
      <c r="C609" s="40"/>
      <c r="D609" s="40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2:24" ht="15.75" customHeight="1" x14ac:dyDescent="0.25">
      <c r="B610" s="39"/>
      <c r="C610" s="40"/>
      <c r="D610" s="40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2:24" ht="15.75" customHeight="1" x14ac:dyDescent="0.25">
      <c r="B611" s="39"/>
      <c r="C611" s="40"/>
      <c r="D611" s="40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2:24" ht="15.75" customHeight="1" x14ac:dyDescent="0.25">
      <c r="B612" s="39"/>
      <c r="C612" s="40"/>
      <c r="D612" s="40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2:24" ht="15.75" customHeight="1" x14ac:dyDescent="0.25">
      <c r="B613" s="39"/>
      <c r="C613" s="40"/>
      <c r="D613" s="40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2:24" ht="15.75" customHeight="1" x14ac:dyDescent="0.25">
      <c r="B614" s="39"/>
      <c r="C614" s="40"/>
      <c r="D614" s="40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2:24" ht="15.75" customHeight="1" x14ac:dyDescent="0.25">
      <c r="B615" s="39"/>
      <c r="C615" s="40"/>
      <c r="D615" s="40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2:24" ht="15.75" customHeight="1" x14ac:dyDescent="0.25">
      <c r="B616" s="39"/>
      <c r="C616" s="40"/>
      <c r="D616" s="40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2:24" ht="15.75" customHeight="1" x14ac:dyDescent="0.25">
      <c r="B617" s="39"/>
      <c r="C617" s="40"/>
      <c r="D617" s="40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2:24" ht="15.75" customHeight="1" x14ac:dyDescent="0.25">
      <c r="B618" s="39"/>
      <c r="C618" s="40"/>
      <c r="D618" s="40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2:24" ht="15.75" customHeight="1" x14ac:dyDescent="0.25">
      <c r="B619" s="39"/>
      <c r="C619" s="40"/>
      <c r="D619" s="40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2:24" ht="15.75" customHeight="1" x14ac:dyDescent="0.25">
      <c r="B620" s="39"/>
      <c r="C620" s="40"/>
      <c r="D620" s="40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2:24" ht="15.75" customHeight="1" x14ac:dyDescent="0.25">
      <c r="B621" s="39"/>
      <c r="C621" s="40"/>
      <c r="D621" s="40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2:24" ht="15.75" customHeight="1" x14ac:dyDescent="0.25">
      <c r="B622" s="39"/>
      <c r="C622" s="40"/>
      <c r="D622" s="40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2:24" ht="15.75" customHeight="1" x14ac:dyDescent="0.25">
      <c r="B623" s="39"/>
      <c r="C623" s="40"/>
      <c r="D623" s="40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2:24" ht="15.75" customHeight="1" x14ac:dyDescent="0.25">
      <c r="B624" s="39"/>
      <c r="C624" s="40"/>
      <c r="D624" s="40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2:24" ht="15.75" customHeight="1" x14ac:dyDescent="0.25">
      <c r="B625" s="39"/>
      <c r="C625" s="40"/>
      <c r="D625" s="40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2:24" ht="15.75" customHeight="1" x14ac:dyDescent="0.25">
      <c r="B626" s="39"/>
      <c r="C626" s="40"/>
      <c r="D626" s="40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2:24" ht="15.75" customHeight="1" x14ac:dyDescent="0.25">
      <c r="B627" s="39"/>
      <c r="C627" s="40"/>
      <c r="D627" s="40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2:24" ht="15.75" customHeight="1" x14ac:dyDescent="0.25">
      <c r="B628" s="39"/>
      <c r="C628" s="40"/>
      <c r="D628" s="40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2:24" ht="15.75" customHeight="1" x14ac:dyDescent="0.25">
      <c r="B629" s="39"/>
      <c r="C629" s="40"/>
      <c r="D629" s="40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2:24" ht="15.75" customHeight="1" x14ac:dyDescent="0.25">
      <c r="B630" s="39"/>
      <c r="C630" s="40"/>
      <c r="D630" s="40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2:24" ht="15.75" customHeight="1" x14ac:dyDescent="0.25">
      <c r="B631" s="39"/>
      <c r="C631" s="40"/>
      <c r="D631" s="40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2:24" ht="15.75" customHeight="1" x14ac:dyDescent="0.25">
      <c r="B632" s="39"/>
      <c r="C632" s="40"/>
      <c r="D632" s="40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2:24" ht="15.75" customHeight="1" x14ac:dyDescent="0.25">
      <c r="B633" s="39"/>
      <c r="C633" s="40"/>
      <c r="D633" s="40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2:24" ht="15.75" customHeight="1" x14ac:dyDescent="0.25">
      <c r="B634" s="39"/>
      <c r="C634" s="40"/>
      <c r="D634" s="40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2:24" ht="15.75" customHeight="1" x14ac:dyDescent="0.25">
      <c r="B635" s="39"/>
      <c r="C635" s="40"/>
      <c r="D635" s="40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2:24" ht="15.75" customHeight="1" x14ac:dyDescent="0.25">
      <c r="B636" s="39"/>
      <c r="C636" s="40"/>
      <c r="D636" s="40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2:24" ht="15.75" customHeight="1" x14ac:dyDescent="0.25">
      <c r="B637" s="39"/>
      <c r="C637" s="40"/>
      <c r="D637" s="40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2:24" ht="15.75" customHeight="1" x14ac:dyDescent="0.25">
      <c r="B638" s="39"/>
      <c r="C638" s="40"/>
      <c r="D638" s="40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2:24" ht="15.75" customHeight="1" x14ac:dyDescent="0.25">
      <c r="B639" s="39"/>
      <c r="C639" s="40"/>
      <c r="D639" s="40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2:24" ht="15.75" customHeight="1" x14ac:dyDescent="0.25">
      <c r="B640" s="39"/>
      <c r="C640" s="40"/>
      <c r="D640" s="40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2:24" ht="15.75" customHeight="1" x14ac:dyDescent="0.25">
      <c r="B641" s="39"/>
      <c r="C641" s="40"/>
      <c r="D641" s="40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2:24" ht="15.75" customHeight="1" x14ac:dyDescent="0.25">
      <c r="B642" s="39"/>
      <c r="C642" s="40"/>
      <c r="D642" s="40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2:24" ht="15.75" customHeight="1" x14ac:dyDescent="0.25">
      <c r="B643" s="39"/>
      <c r="C643" s="40"/>
      <c r="D643" s="40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2:24" ht="15.75" customHeight="1" x14ac:dyDescent="0.25">
      <c r="B644" s="39"/>
      <c r="C644" s="40"/>
      <c r="D644" s="40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2:24" ht="15.75" customHeight="1" x14ac:dyDescent="0.25">
      <c r="B645" s="39"/>
      <c r="C645" s="40"/>
      <c r="D645" s="40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2:24" ht="15.75" customHeight="1" x14ac:dyDescent="0.25">
      <c r="B646" s="39"/>
      <c r="C646" s="40"/>
      <c r="D646" s="40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2:24" ht="15.75" customHeight="1" x14ac:dyDescent="0.25">
      <c r="B647" s="39"/>
      <c r="C647" s="40"/>
      <c r="D647" s="40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2:24" ht="15.75" customHeight="1" x14ac:dyDescent="0.25">
      <c r="B648" s="39"/>
      <c r="C648" s="40"/>
      <c r="D648" s="40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2:24" ht="15.75" customHeight="1" x14ac:dyDescent="0.25">
      <c r="B649" s="39"/>
      <c r="C649" s="40"/>
      <c r="D649" s="40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2:24" ht="15.75" customHeight="1" x14ac:dyDescent="0.25">
      <c r="B650" s="39"/>
      <c r="C650" s="40"/>
      <c r="D650" s="40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2:24" ht="15.75" customHeight="1" x14ac:dyDescent="0.25">
      <c r="B651" s="39"/>
      <c r="C651" s="40"/>
      <c r="D651" s="40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2:24" ht="15.75" customHeight="1" x14ac:dyDescent="0.25">
      <c r="B652" s="39"/>
      <c r="C652" s="40"/>
      <c r="D652" s="40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2:24" ht="15.75" customHeight="1" x14ac:dyDescent="0.25">
      <c r="B653" s="39"/>
      <c r="C653" s="40"/>
      <c r="D653" s="40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2:24" ht="15.75" customHeight="1" x14ac:dyDescent="0.25">
      <c r="B654" s="39"/>
      <c r="C654" s="40"/>
      <c r="D654" s="40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2:24" ht="15.75" customHeight="1" x14ac:dyDescent="0.25">
      <c r="B655" s="39"/>
      <c r="C655" s="40"/>
      <c r="D655" s="40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2:24" ht="15.75" customHeight="1" x14ac:dyDescent="0.25">
      <c r="B656" s="39"/>
      <c r="C656" s="40"/>
      <c r="D656" s="40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2:24" ht="15.75" customHeight="1" x14ac:dyDescent="0.25">
      <c r="B657" s="39"/>
      <c r="C657" s="40"/>
      <c r="D657" s="40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2:24" ht="15.75" customHeight="1" x14ac:dyDescent="0.25">
      <c r="B658" s="39"/>
      <c r="C658" s="40"/>
      <c r="D658" s="40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2:24" ht="15.75" customHeight="1" x14ac:dyDescent="0.25">
      <c r="B659" s="39"/>
      <c r="C659" s="40"/>
      <c r="D659" s="40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2:24" ht="15.75" customHeight="1" x14ac:dyDescent="0.25">
      <c r="B660" s="39"/>
      <c r="C660" s="40"/>
      <c r="D660" s="40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2:24" ht="15.75" customHeight="1" x14ac:dyDescent="0.25">
      <c r="B661" s="39"/>
      <c r="C661" s="40"/>
      <c r="D661" s="40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2:24" ht="15.75" customHeight="1" x14ac:dyDescent="0.25">
      <c r="B662" s="39"/>
      <c r="C662" s="40"/>
      <c r="D662" s="40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2:24" ht="15.75" customHeight="1" x14ac:dyDescent="0.25">
      <c r="B663" s="39"/>
      <c r="C663" s="40"/>
      <c r="D663" s="40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2:24" ht="15.75" customHeight="1" x14ac:dyDescent="0.25">
      <c r="B664" s="39"/>
      <c r="C664" s="40"/>
      <c r="D664" s="40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2:24" ht="15.75" customHeight="1" x14ac:dyDescent="0.25">
      <c r="B665" s="39"/>
      <c r="C665" s="40"/>
      <c r="D665" s="40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2:24" ht="15.75" customHeight="1" x14ac:dyDescent="0.25">
      <c r="B666" s="39"/>
      <c r="C666" s="40"/>
      <c r="D666" s="40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2:24" ht="15.75" customHeight="1" x14ac:dyDescent="0.25">
      <c r="B667" s="39"/>
      <c r="C667" s="40"/>
      <c r="D667" s="40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2:24" ht="15.75" customHeight="1" x14ac:dyDescent="0.25">
      <c r="B668" s="39"/>
      <c r="C668" s="40"/>
      <c r="D668" s="40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2:24" ht="15.75" customHeight="1" x14ac:dyDescent="0.25">
      <c r="B669" s="39"/>
      <c r="C669" s="40"/>
      <c r="D669" s="40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2:24" ht="15.75" customHeight="1" x14ac:dyDescent="0.25">
      <c r="B670" s="39"/>
      <c r="C670" s="40"/>
      <c r="D670" s="40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2:24" ht="15.75" customHeight="1" x14ac:dyDescent="0.25">
      <c r="B671" s="39"/>
      <c r="C671" s="40"/>
      <c r="D671" s="40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2:24" ht="15.75" customHeight="1" x14ac:dyDescent="0.25">
      <c r="B672" s="39"/>
      <c r="C672" s="40"/>
      <c r="D672" s="40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2:24" ht="15.75" customHeight="1" x14ac:dyDescent="0.25">
      <c r="B673" s="39"/>
      <c r="C673" s="40"/>
      <c r="D673" s="40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2:24" ht="15.75" customHeight="1" x14ac:dyDescent="0.25">
      <c r="B674" s="39"/>
      <c r="C674" s="40"/>
      <c r="D674" s="40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2:24" ht="15.75" customHeight="1" x14ac:dyDescent="0.25">
      <c r="B675" s="39"/>
      <c r="C675" s="40"/>
      <c r="D675" s="40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2:24" ht="15.75" customHeight="1" x14ac:dyDescent="0.25">
      <c r="B676" s="39"/>
      <c r="C676" s="40"/>
      <c r="D676" s="40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2:24" ht="15.75" customHeight="1" x14ac:dyDescent="0.25">
      <c r="B677" s="39"/>
      <c r="C677" s="40"/>
      <c r="D677" s="40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2:24" ht="15.75" customHeight="1" x14ac:dyDescent="0.25">
      <c r="B678" s="39"/>
      <c r="C678" s="40"/>
      <c r="D678" s="40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2:24" ht="15.75" customHeight="1" x14ac:dyDescent="0.25">
      <c r="B679" s="39"/>
      <c r="C679" s="40"/>
      <c r="D679" s="40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2:24" ht="15.75" customHeight="1" x14ac:dyDescent="0.25">
      <c r="B680" s="39"/>
      <c r="C680" s="40"/>
      <c r="D680" s="40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2:24" ht="15.75" customHeight="1" x14ac:dyDescent="0.25">
      <c r="B681" s="39"/>
      <c r="C681" s="40"/>
      <c r="D681" s="40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2:24" ht="15.75" customHeight="1" x14ac:dyDescent="0.25">
      <c r="B682" s="39"/>
      <c r="C682" s="40"/>
      <c r="D682" s="40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2:24" ht="15.75" customHeight="1" x14ac:dyDescent="0.25">
      <c r="B683" s="39"/>
      <c r="C683" s="40"/>
      <c r="D683" s="40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2:24" ht="15.75" customHeight="1" x14ac:dyDescent="0.25">
      <c r="B684" s="39"/>
      <c r="C684" s="40"/>
      <c r="D684" s="40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2:24" ht="15.75" customHeight="1" x14ac:dyDescent="0.25">
      <c r="B685" s="39"/>
      <c r="C685" s="40"/>
      <c r="D685" s="40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2:24" ht="15.75" customHeight="1" x14ac:dyDescent="0.25">
      <c r="B686" s="39"/>
      <c r="C686" s="40"/>
      <c r="D686" s="40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2:24" ht="15.75" customHeight="1" x14ac:dyDescent="0.25">
      <c r="B687" s="39"/>
      <c r="C687" s="40"/>
      <c r="D687" s="40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2:24" ht="15.75" customHeight="1" x14ac:dyDescent="0.25">
      <c r="B688" s="39"/>
      <c r="C688" s="40"/>
      <c r="D688" s="40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2:24" ht="15.75" customHeight="1" x14ac:dyDescent="0.25">
      <c r="B689" s="39"/>
      <c r="C689" s="40"/>
      <c r="D689" s="40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2:24" ht="15.75" customHeight="1" x14ac:dyDescent="0.25">
      <c r="B690" s="39"/>
      <c r="C690" s="40"/>
      <c r="D690" s="40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2:24" ht="15.75" customHeight="1" x14ac:dyDescent="0.25">
      <c r="B691" s="39"/>
      <c r="C691" s="40"/>
      <c r="D691" s="40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2:24" ht="15.75" customHeight="1" x14ac:dyDescent="0.25">
      <c r="B692" s="39"/>
      <c r="C692" s="40"/>
      <c r="D692" s="40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2:24" ht="15.75" customHeight="1" x14ac:dyDescent="0.25">
      <c r="B693" s="39"/>
      <c r="C693" s="40"/>
      <c r="D693" s="40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2:24" ht="15.75" customHeight="1" x14ac:dyDescent="0.25">
      <c r="B694" s="39"/>
      <c r="C694" s="40"/>
      <c r="D694" s="40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2:24" ht="15.75" customHeight="1" x14ac:dyDescent="0.25">
      <c r="B695" s="39"/>
      <c r="C695" s="40"/>
      <c r="D695" s="40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2:24" ht="15.75" customHeight="1" x14ac:dyDescent="0.25">
      <c r="B696" s="39"/>
      <c r="C696" s="40"/>
      <c r="D696" s="40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2:24" ht="15.75" customHeight="1" x14ac:dyDescent="0.25">
      <c r="B697" s="39"/>
      <c r="C697" s="40"/>
      <c r="D697" s="40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2:24" ht="15.75" customHeight="1" x14ac:dyDescent="0.25">
      <c r="B698" s="39"/>
      <c r="C698" s="40"/>
      <c r="D698" s="40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2:24" ht="15.75" customHeight="1" x14ac:dyDescent="0.25">
      <c r="B699" s="39"/>
      <c r="C699" s="40"/>
      <c r="D699" s="40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2:24" ht="15.75" customHeight="1" x14ac:dyDescent="0.25">
      <c r="B700" s="39"/>
      <c r="C700" s="40"/>
      <c r="D700" s="40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2:24" ht="15.75" customHeight="1" x14ac:dyDescent="0.25">
      <c r="B701" s="39"/>
      <c r="C701" s="40"/>
      <c r="D701" s="40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2:24" ht="15.75" customHeight="1" x14ac:dyDescent="0.25">
      <c r="B702" s="39"/>
      <c r="C702" s="40"/>
      <c r="D702" s="40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2:24" ht="15.75" customHeight="1" x14ac:dyDescent="0.25">
      <c r="B703" s="39"/>
      <c r="C703" s="40"/>
      <c r="D703" s="40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2:24" ht="15.75" customHeight="1" x14ac:dyDescent="0.25">
      <c r="B704" s="39"/>
      <c r="C704" s="40"/>
      <c r="D704" s="40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2:24" ht="15.75" customHeight="1" x14ac:dyDescent="0.25">
      <c r="B705" s="39"/>
      <c r="C705" s="40"/>
      <c r="D705" s="40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2:24" ht="15.75" customHeight="1" x14ac:dyDescent="0.25">
      <c r="B706" s="39"/>
      <c r="C706" s="40"/>
      <c r="D706" s="40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2:24" ht="15.75" customHeight="1" x14ac:dyDescent="0.25">
      <c r="B707" s="39"/>
      <c r="C707" s="40"/>
      <c r="D707" s="40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2:24" ht="15.75" customHeight="1" x14ac:dyDescent="0.25">
      <c r="B708" s="39"/>
      <c r="C708" s="40"/>
      <c r="D708" s="40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2:24" ht="15.75" customHeight="1" x14ac:dyDescent="0.25">
      <c r="B709" s="39"/>
      <c r="C709" s="40"/>
      <c r="D709" s="40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2:24" ht="15.75" customHeight="1" x14ac:dyDescent="0.25">
      <c r="B710" s="39"/>
      <c r="C710" s="40"/>
      <c r="D710" s="40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2:24" ht="15.75" customHeight="1" x14ac:dyDescent="0.25">
      <c r="B711" s="39"/>
      <c r="C711" s="40"/>
      <c r="D711" s="40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2:24" ht="15.75" customHeight="1" x14ac:dyDescent="0.25">
      <c r="B712" s="39"/>
      <c r="C712" s="40"/>
      <c r="D712" s="40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2:24" ht="15.75" customHeight="1" x14ac:dyDescent="0.25">
      <c r="B713" s="39"/>
      <c r="C713" s="40"/>
      <c r="D713" s="40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2:24" ht="15.75" customHeight="1" x14ac:dyDescent="0.25">
      <c r="B714" s="39"/>
      <c r="C714" s="40"/>
      <c r="D714" s="40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2:24" ht="15.75" customHeight="1" x14ac:dyDescent="0.25">
      <c r="B715" s="39"/>
      <c r="C715" s="40"/>
      <c r="D715" s="40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2:24" ht="15.75" customHeight="1" x14ac:dyDescent="0.25">
      <c r="B716" s="39"/>
      <c r="C716" s="40"/>
      <c r="D716" s="40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2:24" ht="15.75" customHeight="1" x14ac:dyDescent="0.25">
      <c r="B717" s="39"/>
      <c r="C717" s="40"/>
      <c r="D717" s="40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2:24" ht="15.75" customHeight="1" x14ac:dyDescent="0.25">
      <c r="B718" s="39"/>
      <c r="C718" s="40"/>
      <c r="D718" s="40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2:24" ht="15.75" customHeight="1" x14ac:dyDescent="0.25">
      <c r="B719" s="39"/>
      <c r="C719" s="40"/>
      <c r="D719" s="40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2:24" ht="15.75" customHeight="1" x14ac:dyDescent="0.25">
      <c r="B720" s="39"/>
      <c r="C720" s="40"/>
      <c r="D720" s="40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2:24" ht="15.75" customHeight="1" x14ac:dyDescent="0.25">
      <c r="B721" s="39"/>
      <c r="C721" s="40"/>
      <c r="D721" s="40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2:24" ht="15.75" customHeight="1" x14ac:dyDescent="0.25">
      <c r="B722" s="39"/>
      <c r="C722" s="40"/>
      <c r="D722" s="40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2:24" ht="15.75" customHeight="1" x14ac:dyDescent="0.25">
      <c r="B723" s="39"/>
      <c r="C723" s="40"/>
      <c r="D723" s="40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2:24" ht="15.75" customHeight="1" x14ac:dyDescent="0.25">
      <c r="B724" s="39"/>
      <c r="C724" s="40"/>
      <c r="D724" s="40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2:24" ht="15.75" customHeight="1" x14ac:dyDescent="0.25">
      <c r="B725" s="39"/>
      <c r="C725" s="40"/>
      <c r="D725" s="40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2:24" ht="15.75" customHeight="1" x14ac:dyDescent="0.25">
      <c r="B726" s="39"/>
      <c r="C726" s="40"/>
      <c r="D726" s="40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2:24" ht="15.75" customHeight="1" x14ac:dyDescent="0.25">
      <c r="B727" s="39"/>
      <c r="C727" s="40"/>
      <c r="D727" s="40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2:24" ht="15.75" customHeight="1" x14ac:dyDescent="0.25">
      <c r="B728" s="39"/>
      <c r="C728" s="40"/>
      <c r="D728" s="40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2:24" ht="15.75" customHeight="1" x14ac:dyDescent="0.25">
      <c r="B729" s="39"/>
      <c r="C729" s="40"/>
      <c r="D729" s="40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2:24" ht="15.75" customHeight="1" x14ac:dyDescent="0.25">
      <c r="B730" s="39"/>
      <c r="C730" s="40"/>
      <c r="D730" s="40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2:24" ht="15.75" customHeight="1" x14ac:dyDescent="0.25">
      <c r="B731" s="39"/>
      <c r="C731" s="40"/>
      <c r="D731" s="40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2:24" ht="15.75" customHeight="1" x14ac:dyDescent="0.25">
      <c r="B732" s="39"/>
      <c r="C732" s="40"/>
      <c r="D732" s="40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2:24" ht="15.75" customHeight="1" x14ac:dyDescent="0.25">
      <c r="B733" s="39"/>
      <c r="C733" s="40"/>
      <c r="D733" s="40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2:24" ht="15.75" customHeight="1" x14ac:dyDescent="0.25">
      <c r="B734" s="39"/>
      <c r="C734" s="40"/>
      <c r="D734" s="40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2:24" ht="15.75" customHeight="1" x14ac:dyDescent="0.25">
      <c r="B735" s="39"/>
      <c r="C735" s="40"/>
      <c r="D735" s="40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2:24" ht="15.75" customHeight="1" x14ac:dyDescent="0.25">
      <c r="B736" s="39"/>
      <c r="C736" s="40"/>
      <c r="D736" s="40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2:24" ht="15.75" customHeight="1" x14ac:dyDescent="0.25">
      <c r="B737" s="39"/>
      <c r="C737" s="40"/>
      <c r="D737" s="40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2:24" ht="15.75" customHeight="1" x14ac:dyDescent="0.25">
      <c r="B738" s="39"/>
      <c r="C738" s="40"/>
      <c r="D738" s="40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2:24" ht="15.75" customHeight="1" x14ac:dyDescent="0.25">
      <c r="B739" s="39"/>
      <c r="C739" s="40"/>
      <c r="D739" s="40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2:24" ht="15.75" customHeight="1" x14ac:dyDescent="0.25">
      <c r="B740" s="39"/>
      <c r="C740" s="40"/>
      <c r="D740" s="40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2:24" ht="15.75" customHeight="1" x14ac:dyDescent="0.25">
      <c r="B741" s="39"/>
      <c r="C741" s="40"/>
      <c r="D741" s="40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2:24" ht="15.75" customHeight="1" x14ac:dyDescent="0.25">
      <c r="B742" s="39"/>
      <c r="C742" s="40"/>
      <c r="D742" s="40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2:24" ht="15.75" customHeight="1" x14ac:dyDescent="0.25">
      <c r="B743" s="39"/>
      <c r="C743" s="40"/>
      <c r="D743" s="40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2:24" ht="15.75" customHeight="1" x14ac:dyDescent="0.25">
      <c r="B744" s="39"/>
      <c r="C744" s="40"/>
      <c r="D744" s="40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2:24" ht="15.75" customHeight="1" x14ac:dyDescent="0.25">
      <c r="B745" s="39"/>
      <c r="C745" s="40"/>
      <c r="D745" s="40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2:24" ht="15.75" customHeight="1" x14ac:dyDescent="0.25">
      <c r="B746" s="39"/>
      <c r="C746" s="40"/>
      <c r="D746" s="40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2:24" ht="15.75" customHeight="1" x14ac:dyDescent="0.25">
      <c r="B747" s="39"/>
      <c r="C747" s="40"/>
      <c r="D747" s="40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2:24" ht="15.75" customHeight="1" x14ac:dyDescent="0.25">
      <c r="B748" s="39"/>
      <c r="C748" s="40"/>
      <c r="D748" s="40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2:24" ht="15.75" customHeight="1" x14ac:dyDescent="0.25">
      <c r="B749" s="39"/>
      <c r="C749" s="40"/>
      <c r="D749" s="40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2:24" ht="15.75" customHeight="1" x14ac:dyDescent="0.25">
      <c r="B750" s="39"/>
      <c r="C750" s="40"/>
      <c r="D750" s="40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2:24" ht="15.75" customHeight="1" x14ac:dyDescent="0.25">
      <c r="B751" s="39"/>
      <c r="C751" s="40"/>
      <c r="D751" s="40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2:24" ht="15.75" customHeight="1" x14ac:dyDescent="0.25">
      <c r="B752" s="39"/>
      <c r="C752" s="40"/>
      <c r="D752" s="40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2:24" ht="15.75" customHeight="1" x14ac:dyDescent="0.25">
      <c r="B753" s="39"/>
      <c r="C753" s="40"/>
      <c r="D753" s="40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2:24" ht="15.75" customHeight="1" x14ac:dyDescent="0.25">
      <c r="B754" s="39"/>
      <c r="C754" s="40"/>
      <c r="D754" s="40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2:24" ht="15.75" customHeight="1" x14ac:dyDescent="0.25">
      <c r="B755" s="39"/>
      <c r="C755" s="40"/>
      <c r="D755" s="40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2:24" ht="15.75" customHeight="1" x14ac:dyDescent="0.25">
      <c r="B756" s="39"/>
      <c r="C756" s="40"/>
      <c r="D756" s="40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2:24" ht="15.75" customHeight="1" x14ac:dyDescent="0.25">
      <c r="B757" s="39"/>
      <c r="C757" s="40"/>
      <c r="D757" s="40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2:24" ht="15.75" customHeight="1" x14ac:dyDescent="0.25">
      <c r="B758" s="39"/>
      <c r="C758" s="40"/>
      <c r="D758" s="40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2:24" ht="15.75" customHeight="1" x14ac:dyDescent="0.25">
      <c r="B759" s="39"/>
      <c r="C759" s="40"/>
      <c r="D759" s="40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2:24" ht="15.75" customHeight="1" x14ac:dyDescent="0.25">
      <c r="B760" s="39"/>
      <c r="C760" s="40"/>
      <c r="D760" s="40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2:24" ht="15.75" customHeight="1" x14ac:dyDescent="0.25">
      <c r="B761" s="39"/>
      <c r="C761" s="40"/>
      <c r="D761" s="40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2:24" ht="15.75" customHeight="1" x14ac:dyDescent="0.25">
      <c r="B762" s="39"/>
      <c r="C762" s="40"/>
      <c r="D762" s="40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2:24" ht="15.75" customHeight="1" x14ac:dyDescent="0.25">
      <c r="B763" s="39"/>
      <c r="C763" s="40"/>
      <c r="D763" s="40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2:24" ht="15.75" customHeight="1" x14ac:dyDescent="0.25">
      <c r="B764" s="39"/>
      <c r="C764" s="40"/>
      <c r="D764" s="40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2:24" ht="15.75" customHeight="1" x14ac:dyDescent="0.25">
      <c r="B765" s="39"/>
      <c r="C765" s="40"/>
      <c r="D765" s="40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2:24" ht="15.75" customHeight="1" x14ac:dyDescent="0.25">
      <c r="B766" s="39"/>
      <c r="C766" s="40"/>
      <c r="D766" s="40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2:24" ht="15.75" customHeight="1" x14ac:dyDescent="0.25">
      <c r="B767" s="39"/>
      <c r="C767" s="40"/>
      <c r="D767" s="40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2:24" ht="15.75" customHeight="1" x14ac:dyDescent="0.25">
      <c r="B768" s="39"/>
      <c r="C768" s="40"/>
      <c r="D768" s="40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2:24" ht="15.75" customHeight="1" x14ac:dyDescent="0.25">
      <c r="B769" s="39"/>
      <c r="C769" s="40"/>
      <c r="D769" s="40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2:24" ht="15.75" customHeight="1" x14ac:dyDescent="0.25">
      <c r="B770" s="39"/>
      <c r="C770" s="40"/>
      <c r="D770" s="40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2:24" ht="15.75" customHeight="1" x14ac:dyDescent="0.25">
      <c r="B771" s="39"/>
      <c r="C771" s="40"/>
      <c r="D771" s="40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2:24" ht="15.75" customHeight="1" x14ac:dyDescent="0.25">
      <c r="B772" s="39"/>
      <c r="C772" s="40"/>
      <c r="D772" s="40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2:24" ht="15.75" customHeight="1" x14ac:dyDescent="0.25">
      <c r="B773" s="39"/>
      <c r="C773" s="40"/>
      <c r="D773" s="40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2:24" ht="15.75" customHeight="1" x14ac:dyDescent="0.25">
      <c r="B774" s="39"/>
      <c r="C774" s="40"/>
      <c r="D774" s="40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2:24" ht="15.75" customHeight="1" x14ac:dyDescent="0.25">
      <c r="B775" s="39"/>
      <c r="C775" s="40"/>
      <c r="D775" s="40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2:24" ht="15.75" customHeight="1" x14ac:dyDescent="0.25">
      <c r="B776" s="39"/>
      <c r="C776" s="40"/>
      <c r="D776" s="40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2:24" ht="15.75" customHeight="1" x14ac:dyDescent="0.25">
      <c r="B777" s="39"/>
      <c r="C777" s="40"/>
      <c r="D777" s="40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2:24" ht="15.75" customHeight="1" x14ac:dyDescent="0.25">
      <c r="B778" s="39"/>
      <c r="C778" s="40"/>
      <c r="D778" s="40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2:24" ht="15.75" customHeight="1" x14ac:dyDescent="0.25">
      <c r="B779" s="39"/>
      <c r="C779" s="40"/>
      <c r="D779" s="40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2:24" ht="15.75" customHeight="1" x14ac:dyDescent="0.25">
      <c r="B780" s="39"/>
      <c r="C780" s="40"/>
      <c r="D780" s="40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2:24" ht="15.75" customHeight="1" x14ac:dyDescent="0.25">
      <c r="B781" s="39"/>
      <c r="C781" s="40"/>
      <c r="D781" s="40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2:24" ht="15.75" customHeight="1" x14ac:dyDescent="0.25">
      <c r="B782" s="39"/>
      <c r="C782" s="40"/>
      <c r="D782" s="40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2:24" ht="15.75" customHeight="1" x14ac:dyDescent="0.25">
      <c r="B783" s="39"/>
      <c r="C783" s="40"/>
      <c r="D783" s="40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2:24" ht="15.75" customHeight="1" x14ac:dyDescent="0.25">
      <c r="B784" s="39"/>
      <c r="C784" s="40"/>
      <c r="D784" s="40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2:24" ht="15.75" customHeight="1" x14ac:dyDescent="0.25">
      <c r="B785" s="39"/>
      <c r="C785" s="40"/>
      <c r="D785" s="40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2:24" ht="15.75" customHeight="1" x14ac:dyDescent="0.25">
      <c r="B786" s="39"/>
      <c r="C786" s="40"/>
      <c r="D786" s="40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2:24" ht="15.75" customHeight="1" x14ac:dyDescent="0.25">
      <c r="B787" s="39"/>
      <c r="C787" s="40"/>
      <c r="D787" s="40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2:24" ht="15.75" customHeight="1" x14ac:dyDescent="0.25">
      <c r="B788" s="39"/>
      <c r="C788" s="40"/>
      <c r="D788" s="40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2:24" ht="15.75" customHeight="1" x14ac:dyDescent="0.25">
      <c r="B789" s="39"/>
      <c r="C789" s="40"/>
      <c r="D789" s="40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2:24" ht="15.75" customHeight="1" x14ac:dyDescent="0.25">
      <c r="B790" s="39"/>
      <c r="C790" s="40"/>
      <c r="D790" s="40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2:24" ht="15.75" customHeight="1" x14ac:dyDescent="0.25">
      <c r="B791" s="39"/>
      <c r="C791" s="40"/>
      <c r="D791" s="40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2:24" ht="15.75" customHeight="1" x14ac:dyDescent="0.25">
      <c r="B792" s="39"/>
      <c r="C792" s="40"/>
      <c r="D792" s="40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2:24" ht="15.75" customHeight="1" x14ac:dyDescent="0.25">
      <c r="B793" s="39"/>
      <c r="C793" s="40"/>
      <c r="D793" s="40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2:24" ht="15.75" customHeight="1" x14ac:dyDescent="0.25">
      <c r="B794" s="39"/>
      <c r="C794" s="40"/>
      <c r="D794" s="40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2:24" ht="15.75" customHeight="1" x14ac:dyDescent="0.25">
      <c r="B795" s="39"/>
      <c r="C795" s="40"/>
      <c r="D795" s="40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2:24" ht="15.75" customHeight="1" x14ac:dyDescent="0.25">
      <c r="B796" s="39"/>
      <c r="C796" s="40"/>
      <c r="D796" s="40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2:24" ht="15.75" customHeight="1" x14ac:dyDescent="0.25">
      <c r="B797" s="39"/>
      <c r="C797" s="40"/>
      <c r="D797" s="40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2:24" ht="15.75" customHeight="1" x14ac:dyDescent="0.25">
      <c r="B798" s="39"/>
      <c r="C798" s="40"/>
      <c r="D798" s="40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2:24" ht="15.75" customHeight="1" x14ac:dyDescent="0.25">
      <c r="B799" s="39"/>
      <c r="C799" s="40"/>
      <c r="D799" s="40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2:24" ht="15.75" customHeight="1" x14ac:dyDescent="0.25">
      <c r="B800" s="39"/>
      <c r="C800" s="40"/>
      <c r="D800" s="40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2:24" ht="15.75" customHeight="1" x14ac:dyDescent="0.25">
      <c r="B801" s="39"/>
      <c r="C801" s="40"/>
      <c r="D801" s="40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2:24" ht="15.75" customHeight="1" x14ac:dyDescent="0.25">
      <c r="B802" s="39"/>
      <c r="C802" s="40"/>
      <c r="D802" s="40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2:24" ht="15.75" customHeight="1" x14ac:dyDescent="0.25">
      <c r="B803" s="39"/>
      <c r="C803" s="40"/>
      <c r="D803" s="40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2:24" ht="15.75" customHeight="1" x14ac:dyDescent="0.25">
      <c r="B804" s="39"/>
      <c r="C804" s="40"/>
      <c r="D804" s="40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2:24" ht="15.75" customHeight="1" x14ac:dyDescent="0.25">
      <c r="B805" s="39"/>
      <c r="C805" s="40"/>
      <c r="D805" s="40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2:24" ht="15.75" customHeight="1" x14ac:dyDescent="0.25">
      <c r="B806" s="39"/>
      <c r="C806" s="40"/>
      <c r="D806" s="40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2:24" ht="15.75" customHeight="1" x14ac:dyDescent="0.25">
      <c r="B807" s="39"/>
      <c r="C807" s="40"/>
      <c r="D807" s="40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2:24" ht="15.75" customHeight="1" x14ac:dyDescent="0.25">
      <c r="B808" s="39"/>
      <c r="C808" s="40"/>
      <c r="D808" s="40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2:24" ht="15.75" customHeight="1" x14ac:dyDescent="0.25">
      <c r="B809" s="39"/>
      <c r="C809" s="40"/>
      <c r="D809" s="40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2:24" ht="15.75" customHeight="1" x14ac:dyDescent="0.25">
      <c r="B810" s="39"/>
      <c r="C810" s="40"/>
      <c r="D810" s="40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2:24" ht="15.75" customHeight="1" x14ac:dyDescent="0.25">
      <c r="B811" s="39"/>
      <c r="C811" s="40"/>
      <c r="D811" s="40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2:24" ht="15.75" customHeight="1" x14ac:dyDescent="0.25">
      <c r="B812" s="39"/>
      <c r="C812" s="40"/>
      <c r="D812" s="40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2:24" ht="15.75" customHeight="1" x14ac:dyDescent="0.25">
      <c r="B813" s="39"/>
      <c r="C813" s="40"/>
      <c r="D813" s="40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2:24" ht="15.75" customHeight="1" x14ac:dyDescent="0.25">
      <c r="B814" s="39"/>
      <c r="C814" s="40"/>
      <c r="D814" s="40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2:24" ht="15.75" customHeight="1" x14ac:dyDescent="0.25">
      <c r="B815" s="39"/>
      <c r="C815" s="40"/>
      <c r="D815" s="40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2:24" ht="15.75" customHeight="1" x14ac:dyDescent="0.25">
      <c r="B816" s="39"/>
      <c r="C816" s="40"/>
      <c r="D816" s="40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2:24" ht="15.75" customHeight="1" x14ac:dyDescent="0.25">
      <c r="B817" s="39"/>
      <c r="C817" s="40"/>
      <c r="D817" s="40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2:24" ht="15.75" customHeight="1" x14ac:dyDescent="0.25">
      <c r="B818" s="39"/>
      <c r="C818" s="40"/>
      <c r="D818" s="40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2:24" ht="15.75" customHeight="1" x14ac:dyDescent="0.25">
      <c r="B819" s="39"/>
      <c r="C819" s="40"/>
      <c r="D819" s="40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2:24" ht="15.75" customHeight="1" x14ac:dyDescent="0.25">
      <c r="B820" s="39"/>
      <c r="C820" s="40"/>
      <c r="D820" s="40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2:24" ht="15.75" customHeight="1" x14ac:dyDescent="0.25">
      <c r="B821" s="39"/>
      <c r="C821" s="40"/>
      <c r="D821" s="40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2:24" ht="15.75" customHeight="1" x14ac:dyDescent="0.25">
      <c r="B822" s="39"/>
      <c r="C822" s="40"/>
      <c r="D822" s="40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2:24" ht="15.75" customHeight="1" x14ac:dyDescent="0.25">
      <c r="B823" s="39"/>
      <c r="C823" s="40"/>
      <c r="D823" s="40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2:24" ht="15.75" customHeight="1" x14ac:dyDescent="0.25">
      <c r="B824" s="39"/>
      <c r="C824" s="40"/>
      <c r="D824" s="40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2:24" ht="15.75" customHeight="1" x14ac:dyDescent="0.25">
      <c r="B825" s="39"/>
      <c r="C825" s="40"/>
      <c r="D825" s="40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2:24" ht="15.75" customHeight="1" x14ac:dyDescent="0.25">
      <c r="B826" s="39"/>
      <c r="C826" s="40"/>
      <c r="D826" s="40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2:24" ht="15.75" customHeight="1" x14ac:dyDescent="0.25">
      <c r="B827" s="39"/>
      <c r="C827" s="40"/>
      <c r="D827" s="40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2:24" ht="15.75" customHeight="1" x14ac:dyDescent="0.25">
      <c r="B828" s="39"/>
      <c r="C828" s="40"/>
      <c r="D828" s="40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2:24" ht="15.75" customHeight="1" x14ac:dyDescent="0.25">
      <c r="B829" s="39"/>
      <c r="C829" s="40"/>
      <c r="D829" s="40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2:24" ht="15.75" customHeight="1" x14ac:dyDescent="0.25">
      <c r="B830" s="39"/>
      <c r="C830" s="40"/>
      <c r="D830" s="40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2:24" ht="15.75" customHeight="1" x14ac:dyDescent="0.25">
      <c r="B831" s="39"/>
      <c r="C831" s="40"/>
      <c r="D831" s="40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2:24" ht="15.75" customHeight="1" x14ac:dyDescent="0.25">
      <c r="B832" s="39"/>
      <c r="C832" s="40"/>
      <c r="D832" s="40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2:24" ht="15.75" customHeight="1" x14ac:dyDescent="0.25">
      <c r="B833" s="39"/>
      <c r="C833" s="40"/>
      <c r="D833" s="40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2:24" ht="15.75" customHeight="1" x14ac:dyDescent="0.25">
      <c r="B834" s="39"/>
      <c r="C834" s="40"/>
      <c r="D834" s="40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2:24" ht="15.75" customHeight="1" x14ac:dyDescent="0.25">
      <c r="B835" s="39"/>
      <c r="C835" s="40"/>
      <c r="D835" s="40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2:24" ht="15.75" customHeight="1" x14ac:dyDescent="0.25">
      <c r="B836" s="39"/>
      <c r="C836" s="40"/>
      <c r="D836" s="40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2:24" ht="15.75" customHeight="1" x14ac:dyDescent="0.25">
      <c r="B837" s="39"/>
      <c r="C837" s="40"/>
      <c r="D837" s="40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2:24" ht="15.75" customHeight="1" x14ac:dyDescent="0.25">
      <c r="B838" s="39"/>
      <c r="C838" s="40"/>
      <c r="D838" s="40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2:24" ht="15.75" customHeight="1" x14ac:dyDescent="0.25">
      <c r="B839" s="39"/>
      <c r="C839" s="40"/>
      <c r="D839" s="40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2:24" ht="15.75" customHeight="1" x14ac:dyDescent="0.25">
      <c r="B840" s="39"/>
      <c r="C840" s="40"/>
      <c r="D840" s="40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2:24" ht="15.75" customHeight="1" x14ac:dyDescent="0.25">
      <c r="B841" s="39"/>
      <c r="C841" s="40"/>
      <c r="D841" s="40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2:24" ht="15.75" customHeight="1" x14ac:dyDescent="0.25">
      <c r="B842" s="39"/>
      <c r="C842" s="40"/>
      <c r="D842" s="40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2:24" ht="15.75" customHeight="1" x14ac:dyDescent="0.25">
      <c r="B843" s="39"/>
      <c r="C843" s="40"/>
      <c r="D843" s="40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2:24" ht="15.75" customHeight="1" x14ac:dyDescent="0.25">
      <c r="B844" s="39"/>
      <c r="C844" s="40"/>
      <c r="D844" s="40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2:24" ht="15.75" customHeight="1" x14ac:dyDescent="0.25">
      <c r="B845" s="39"/>
      <c r="C845" s="40"/>
      <c r="D845" s="40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2:24" ht="15.75" customHeight="1" x14ac:dyDescent="0.25">
      <c r="B846" s="39"/>
      <c r="C846" s="40"/>
      <c r="D846" s="40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2:24" ht="15.75" customHeight="1" x14ac:dyDescent="0.25">
      <c r="B847" s="39"/>
      <c r="C847" s="40"/>
      <c r="D847" s="40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2:24" ht="15.75" customHeight="1" x14ac:dyDescent="0.25">
      <c r="B848" s="39"/>
      <c r="C848" s="40"/>
      <c r="D848" s="40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2:24" ht="15.75" customHeight="1" x14ac:dyDescent="0.25">
      <c r="B849" s="39"/>
      <c r="C849" s="40"/>
      <c r="D849" s="40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2:24" ht="15.75" customHeight="1" x14ac:dyDescent="0.25">
      <c r="B850" s="39"/>
      <c r="C850" s="40"/>
      <c r="D850" s="40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2:24" ht="15.75" customHeight="1" x14ac:dyDescent="0.25">
      <c r="B851" s="39"/>
      <c r="C851" s="40"/>
      <c r="D851" s="40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2:24" ht="15.75" customHeight="1" x14ac:dyDescent="0.25">
      <c r="B852" s="39"/>
      <c r="C852" s="40"/>
      <c r="D852" s="40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2:24" ht="15.75" customHeight="1" x14ac:dyDescent="0.25">
      <c r="B853" s="39"/>
      <c r="C853" s="40"/>
      <c r="D853" s="40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2:24" ht="15.75" customHeight="1" x14ac:dyDescent="0.25">
      <c r="B854" s="39"/>
      <c r="C854" s="40"/>
      <c r="D854" s="40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2:24" ht="15.75" customHeight="1" x14ac:dyDescent="0.25">
      <c r="B855" s="39"/>
      <c r="C855" s="40"/>
      <c r="D855" s="40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2:24" ht="15.75" customHeight="1" x14ac:dyDescent="0.25">
      <c r="B856" s="39"/>
      <c r="C856" s="40"/>
      <c r="D856" s="40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2:24" ht="15.75" customHeight="1" x14ac:dyDescent="0.25">
      <c r="B857" s="39"/>
      <c r="C857" s="40"/>
      <c r="D857" s="40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2:24" ht="15.75" customHeight="1" x14ac:dyDescent="0.25">
      <c r="B858" s="39"/>
      <c r="C858" s="40"/>
      <c r="D858" s="40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2:24" ht="15.75" customHeight="1" x14ac:dyDescent="0.25">
      <c r="B859" s="39"/>
      <c r="C859" s="40"/>
      <c r="D859" s="40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2:24" ht="15.75" customHeight="1" x14ac:dyDescent="0.25">
      <c r="B860" s="39"/>
      <c r="C860" s="40"/>
      <c r="D860" s="40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2:24" ht="15.75" customHeight="1" x14ac:dyDescent="0.25">
      <c r="B861" s="39"/>
      <c r="C861" s="40"/>
      <c r="D861" s="40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2:24" ht="15.75" customHeight="1" x14ac:dyDescent="0.25">
      <c r="B862" s="39"/>
      <c r="C862" s="40"/>
      <c r="D862" s="40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2:24" ht="15.75" customHeight="1" x14ac:dyDescent="0.25">
      <c r="B863" s="39"/>
      <c r="C863" s="40"/>
      <c r="D863" s="40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2:24" ht="15.75" customHeight="1" x14ac:dyDescent="0.25">
      <c r="B864" s="39"/>
      <c r="C864" s="40"/>
      <c r="D864" s="40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2:24" ht="15.75" customHeight="1" x14ac:dyDescent="0.25">
      <c r="B865" s="39"/>
      <c r="C865" s="40"/>
      <c r="D865" s="40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2:24" ht="15.75" customHeight="1" x14ac:dyDescent="0.25">
      <c r="B866" s="39"/>
      <c r="C866" s="40"/>
      <c r="D866" s="40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2:24" ht="15.75" customHeight="1" x14ac:dyDescent="0.25">
      <c r="B867" s="39"/>
      <c r="C867" s="40"/>
      <c r="D867" s="40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2:24" ht="15.75" customHeight="1" x14ac:dyDescent="0.25">
      <c r="B868" s="39"/>
      <c r="C868" s="40"/>
      <c r="D868" s="40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2:24" ht="15.75" customHeight="1" x14ac:dyDescent="0.25">
      <c r="B869" s="39"/>
      <c r="C869" s="40"/>
      <c r="D869" s="40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2:24" ht="15.75" customHeight="1" x14ac:dyDescent="0.25">
      <c r="B870" s="39"/>
      <c r="C870" s="40"/>
      <c r="D870" s="40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2:24" ht="15.75" customHeight="1" x14ac:dyDescent="0.25">
      <c r="B871" s="39"/>
      <c r="C871" s="40"/>
      <c r="D871" s="40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2:24" ht="15.75" customHeight="1" x14ac:dyDescent="0.25">
      <c r="B872" s="39"/>
      <c r="C872" s="40"/>
      <c r="D872" s="40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2:24" ht="15.75" customHeight="1" x14ac:dyDescent="0.25">
      <c r="B873" s="39"/>
      <c r="C873" s="40"/>
      <c r="D873" s="40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2:24" ht="15.75" customHeight="1" x14ac:dyDescent="0.25">
      <c r="B874" s="39"/>
      <c r="C874" s="40"/>
      <c r="D874" s="40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2:24" ht="15.75" customHeight="1" x14ac:dyDescent="0.25">
      <c r="B875" s="39"/>
      <c r="C875" s="40"/>
      <c r="D875" s="40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2:24" ht="15.75" customHeight="1" x14ac:dyDescent="0.25">
      <c r="B876" s="39"/>
      <c r="C876" s="40"/>
      <c r="D876" s="40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2:24" ht="15.75" customHeight="1" x14ac:dyDescent="0.25">
      <c r="B877" s="39"/>
      <c r="C877" s="40"/>
      <c r="D877" s="40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2:24" ht="15.75" customHeight="1" x14ac:dyDescent="0.25">
      <c r="B878" s="39"/>
      <c r="C878" s="40"/>
      <c r="D878" s="40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2:24" ht="15.75" customHeight="1" x14ac:dyDescent="0.25">
      <c r="B879" s="39"/>
      <c r="C879" s="40"/>
      <c r="D879" s="40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2:24" ht="15.75" customHeight="1" x14ac:dyDescent="0.25">
      <c r="B880" s="39"/>
      <c r="C880" s="40"/>
      <c r="D880" s="40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2:24" ht="15.75" customHeight="1" x14ac:dyDescent="0.25">
      <c r="B881" s="39"/>
      <c r="C881" s="40"/>
      <c r="D881" s="40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2:24" ht="15.75" customHeight="1" x14ac:dyDescent="0.25">
      <c r="B882" s="39"/>
      <c r="C882" s="40"/>
      <c r="D882" s="40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2:24" ht="15.75" customHeight="1" x14ac:dyDescent="0.25">
      <c r="B883" s="39"/>
      <c r="C883" s="40"/>
      <c r="D883" s="40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2:24" ht="15.75" customHeight="1" x14ac:dyDescent="0.25">
      <c r="B884" s="39"/>
      <c r="C884" s="40"/>
      <c r="D884" s="40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2:24" ht="15.75" customHeight="1" x14ac:dyDescent="0.25">
      <c r="B885" s="39"/>
      <c r="C885" s="40"/>
      <c r="D885" s="40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2:24" ht="15.75" customHeight="1" x14ac:dyDescent="0.25">
      <c r="B886" s="39"/>
      <c r="C886" s="40"/>
      <c r="D886" s="40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2:24" ht="15.75" customHeight="1" x14ac:dyDescent="0.25">
      <c r="B887" s="39"/>
      <c r="C887" s="40"/>
      <c r="D887" s="40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2:24" ht="15.75" customHeight="1" x14ac:dyDescent="0.25">
      <c r="B888" s="39"/>
      <c r="C888" s="40"/>
      <c r="D888" s="40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2:24" ht="15.75" customHeight="1" x14ac:dyDescent="0.25">
      <c r="B889" s="39"/>
      <c r="C889" s="40"/>
      <c r="D889" s="40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2:24" ht="15.75" customHeight="1" x14ac:dyDescent="0.25">
      <c r="B890" s="39"/>
      <c r="C890" s="40"/>
      <c r="D890" s="40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2:24" ht="15.75" customHeight="1" x14ac:dyDescent="0.25">
      <c r="B891" s="39"/>
      <c r="C891" s="40"/>
      <c r="D891" s="40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2:24" ht="15.75" customHeight="1" x14ac:dyDescent="0.25">
      <c r="B892" s="39"/>
      <c r="C892" s="40"/>
      <c r="D892" s="40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2:24" ht="15.75" customHeight="1" x14ac:dyDescent="0.25">
      <c r="B893" s="39"/>
      <c r="C893" s="40"/>
      <c r="D893" s="40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2:24" ht="15.75" customHeight="1" x14ac:dyDescent="0.25">
      <c r="B894" s="39"/>
      <c r="C894" s="40"/>
      <c r="D894" s="40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2:24" ht="15.75" customHeight="1" x14ac:dyDescent="0.25">
      <c r="B895" s="39"/>
      <c r="C895" s="40"/>
      <c r="D895" s="40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2:24" ht="15.75" customHeight="1" x14ac:dyDescent="0.25">
      <c r="B896" s="39"/>
      <c r="C896" s="40"/>
      <c r="D896" s="40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2:24" ht="15.75" customHeight="1" x14ac:dyDescent="0.25">
      <c r="B897" s="39"/>
      <c r="C897" s="40"/>
      <c r="D897" s="40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2:24" ht="15.75" customHeight="1" x14ac:dyDescent="0.25">
      <c r="B898" s="39"/>
      <c r="C898" s="40"/>
      <c r="D898" s="40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2:24" ht="15.75" customHeight="1" x14ac:dyDescent="0.25">
      <c r="B899" s="39"/>
      <c r="C899" s="40"/>
      <c r="D899" s="40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2:24" ht="15.75" customHeight="1" x14ac:dyDescent="0.25">
      <c r="B900" s="39"/>
      <c r="C900" s="40"/>
      <c r="D900" s="40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2:24" ht="15.75" customHeight="1" x14ac:dyDescent="0.25">
      <c r="B901" s="39"/>
      <c r="C901" s="40"/>
      <c r="D901" s="40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2:24" ht="15.75" customHeight="1" x14ac:dyDescent="0.25">
      <c r="B902" s="39"/>
      <c r="C902" s="40"/>
      <c r="D902" s="40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2:24" ht="15.75" customHeight="1" x14ac:dyDescent="0.25">
      <c r="B903" s="39"/>
      <c r="C903" s="40"/>
      <c r="D903" s="40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2:24" ht="15.75" customHeight="1" x14ac:dyDescent="0.25">
      <c r="B904" s="39"/>
      <c r="C904" s="40"/>
      <c r="D904" s="40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2:24" ht="15.75" customHeight="1" x14ac:dyDescent="0.25">
      <c r="B905" s="39"/>
      <c r="C905" s="40"/>
      <c r="D905" s="40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2:24" ht="15.75" customHeight="1" x14ac:dyDescent="0.25">
      <c r="B906" s="39"/>
      <c r="C906" s="40"/>
      <c r="D906" s="40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2:24" ht="15.75" customHeight="1" x14ac:dyDescent="0.25">
      <c r="B907" s="39"/>
      <c r="C907" s="40"/>
      <c r="D907" s="40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2:24" ht="15.75" customHeight="1" x14ac:dyDescent="0.25">
      <c r="B908" s="39"/>
      <c r="C908" s="40"/>
      <c r="D908" s="40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2:24" ht="15.75" customHeight="1" x14ac:dyDescent="0.25">
      <c r="B909" s="39"/>
      <c r="C909" s="40"/>
      <c r="D909" s="40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2:24" ht="15.75" customHeight="1" x14ac:dyDescent="0.25">
      <c r="B910" s="39"/>
      <c r="C910" s="40"/>
      <c r="D910" s="40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2:24" ht="15.75" customHeight="1" x14ac:dyDescent="0.25">
      <c r="B911" s="39"/>
      <c r="C911" s="40"/>
      <c r="D911" s="40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2:24" ht="15.75" customHeight="1" x14ac:dyDescent="0.25">
      <c r="B912" s="39"/>
      <c r="C912" s="40"/>
      <c r="D912" s="40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2:24" ht="15.75" customHeight="1" x14ac:dyDescent="0.25">
      <c r="B913" s="39"/>
      <c r="C913" s="40"/>
      <c r="D913" s="40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2:24" ht="15.75" customHeight="1" x14ac:dyDescent="0.25">
      <c r="B914" s="39"/>
      <c r="C914" s="40"/>
      <c r="D914" s="40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2:24" ht="15.75" customHeight="1" x14ac:dyDescent="0.25">
      <c r="B915" s="39"/>
      <c r="C915" s="40"/>
      <c r="D915" s="40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2:24" ht="15.75" customHeight="1" x14ac:dyDescent="0.25">
      <c r="B916" s="39"/>
      <c r="C916" s="40"/>
      <c r="D916" s="40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2:24" ht="15.75" customHeight="1" x14ac:dyDescent="0.25">
      <c r="B917" s="39"/>
      <c r="C917" s="40"/>
      <c r="D917" s="40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2:24" ht="15.75" customHeight="1" x14ac:dyDescent="0.25">
      <c r="B918" s="39"/>
      <c r="C918" s="40"/>
      <c r="D918" s="40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2:24" ht="15.75" customHeight="1" x14ac:dyDescent="0.25">
      <c r="B919" s="39"/>
      <c r="C919" s="40"/>
      <c r="D919" s="40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2:24" ht="15.75" customHeight="1" x14ac:dyDescent="0.25">
      <c r="B920" s="39"/>
      <c r="C920" s="40"/>
      <c r="D920" s="40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2:24" ht="15.75" customHeight="1" x14ac:dyDescent="0.25">
      <c r="B921" s="39"/>
      <c r="C921" s="40"/>
      <c r="D921" s="40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2:24" ht="15.75" customHeight="1" x14ac:dyDescent="0.25">
      <c r="B922" s="39"/>
      <c r="C922" s="40"/>
      <c r="D922" s="40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2:24" ht="15.75" customHeight="1" x14ac:dyDescent="0.25">
      <c r="B923" s="39"/>
      <c r="C923" s="40"/>
      <c r="D923" s="40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2:24" ht="15.75" customHeight="1" x14ac:dyDescent="0.25">
      <c r="B924" s="39"/>
      <c r="C924" s="40"/>
      <c r="D924" s="40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2:24" ht="15.75" customHeight="1" x14ac:dyDescent="0.25">
      <c r="B925" s="39"/>
      <c r="C925" s="40"/>
      <c r="D925" s="40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2:24" ht="15.75" customHeight="1" x14ac:dyDescent="0.25">
      <c r="B926" s="39"/>
      <c r="C926" s="40"/>
      <c r="D926" s="40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2:24" ht="15.75" customHeight="1" x14ac:dyDescent="0.25">
      <c r="B927" s="39"/>
      <c r="C927" s="40"/>
      <c r="D927" s="40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2:24" ht="15.75" customHeight="1" x14ac:dyDescent="0.25">
      <c r="B928" s="39"/>
      <c r="C928" s="40"/>
      <c r="D928" s="40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2:24" ht="15.75" customHeight="1" x14ac:dyDescent="0.25">
      <c r="B929" s="39"/>
      <c r="C929" s="40"/>
      <c r="D929" s="40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2:24" ht="15.75" customHeight="1" x14ac:dyDescent="0.25">
      <c r="B930" s="39"/>
      <c r="C930" s="40"/>
      <c r="D930" s="40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2:24" ht="15.75" customHeight="1" x14ac:dyDescent="0.25">
      <c r="B931" s="39"/>
      <c r="C931" s="40"/>
      <c r="D931" s="40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2:24" ht="15.75" customHeight="1" x14ac:dyDescent="0.25">
      <c r="B932" s="39"/>
      <c r="C932" s="40"/>
      <c r="D932" s="40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2:24" ht="15.75" customHeight="1" x14ac:dyDescent="0.25">
      <c r="B933" s="39"/>
      <c r="C933" s="40"/>
      <c r="D933" s="40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2:24" ht="15.75" customHeight="1" x14ac:dyDescent="0.25">
      <c r="B934" s="39"/>
      <c r="C934" s="40"/>
      <c r="D934" s="40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2:24" ht="15.75" customHeight="1" x14ac:dyDescent="0.25">
      <c r="B935" s="39"/>
      <c r="C935" s="40"/>
      <c r="D935" s="40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2:24" ht="15.75" customHeight="1" x14ac:dyDescent="0.25">
      <c r="B936" s="39"/>
      <c r="C936" s="40"/>
      <c r="D936" s="40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2:24" ht="15.75" customHeight="1" x14ac:dyDescent="0.25">
      <c r="B937" s="39"/>
      <c r="C937" s="40"/>
      <c r="D937" s="40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2:24" ht="15.75" customHeight="1" x14ac:dyDescent="0.25">
      <c r="B938" s="39"/>
      <c r="C938" s="40"/>
      <c r="D938" s="40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2:24" ht="15.75" customHeight="1" x14ac:dyDescent="0.25">
      <c r="B939" s="39"/>
      <c r="C939" s="40"/>
      <c r="D939" s="40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2:24" ht="15.75" customHeight="1" x14ac:dyDescent="0.25">
      <c r="B940" s="39"/>
      <c r="C940" s="40"/>
      <c r="D940" s="40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2:24" ht="15.75" customHeight="1" x14ac:dyDescent="0.25">
      <c r="B941" s="39"/>
      <c r="C941" s="40"/>
      <c r="D941" s="40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2:24" ht="15.75" customHeight="1" x14ac:dyDescent="0.25">
      <c r="B942" s="39"/>
      <c r="C942" s="40"/>
      <c r="D942" s="40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2:24" ht="15.75" customHeight="1" x14ac:dyDescent="0.25">
      <c r="B943" s="39"/>
      <c r="C943" s="40"/>
      <c r="D943" s="40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2:24" ht="15.75" customHeight="1" x14ac:dyDescent="0.25">
      <c r="B944" s="39"/>
      <c r="C944" s="40"/>
      <c r="D944" s="40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2:24" ht="15.75" customHeight="1" x14ac:dyDescent="0.25">
      <c r="B945" s="39"/>
      <c r="C945" s="40"/>
      <c r="D945" s="40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2:24" ht="15.75" customHeight="1" x14ac:dyDescent="0.25">
      <c r="B946" s="39"/>
      <c r="C946" s="40"/>
      <c r="D946" s="40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2:24" ht="15.75" customHeight="1" x14ac:dyDescent="0.25">
      <c r="B947" s="39"/>
      <c r="C947" s="40"/>
      <c r="D947" s="40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2:24" ht="15.75" customHeight="1" x14ac:dyDescent="0.25">
      <c r="B948" s="39"/>
      <c r="C948" s="40"/>
      <c r="D948" s="40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2:24" ht="15.75" customHeight="1" x14ac:dyDescent="0.25">
      <c r="B949" s="39"/>
      <c r="C949" s="40"/>
      <c r="D949" s="40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2:24" ht="15.75" customHeight="1" x14ac:dyDescent="0.25">
      <c r="B950" s="39"/>
      <c r="C950" s="40"/>
      <c r="D950" s="40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2:24" ht="15.75" customHeight="1" x14ac:dyDescent="0.25">
      <c r="B951" s="39"/>
      <c r="C951" s="40"/>
      <c r="D951" s="40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2:24" ht="15.75" customHeight="1" x14ac:dyDescent="0.25">
      <c r="B952" s="39"/>
      <c r="C952" s="40"/>
      <c r="D952" s="40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2:24" ht="15.75" customHeight="1" x14ac:dyDescent="0.25">
      <c r="B953" s="39"/>
      <c r="C953" s="40"/>
      <c r="D953" s="40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2:24" ht="15.75" customHeight="1" x14ac:dyDescent="0.25">
      <c r="B954" s="39"/>
      <c r="C954" s="40"/>
      <c r="D954" s="40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2:24" ht="15.75" customHeight="1" x14ac:dyDescent="0.25">
      <c r="B955" s="39"/>
      <c r="C955" s="40"/>
      <c r="D955" s="40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2:24" ht="15.75" customHeight="1" x14ac:dyDescent="0.25">
      <c r="B956" s="39"/>
      <c r="C956" s="40"/>
      <c r="D956" s="40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2:24" ht="15.75" customHeight="1" x14ac:dyDescent="0.25">
      <c r="B957" s="39"/>
      <c r="C957" s="40"/>
      <c r="D957" s="40"/>
      <c r="E957" s="6"/>
      <c r="F957" s="6"/>
      <c r="G957" s="6"/>
      <c r="H957" s="40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2:24" ht="15.75" customHeight="1" x14ac:dyDescent="0.25">
      <c r="B958" s="39"/>
      <c r="C958" s="40"/>
      <c r="D958" s="40"/>
      <c r="E958" s="6"/>
      <c r="F958" s="6"/>
      <c r="G958" s="6"/>
      <c r="H958" s="40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2:24" ht="15.75" customHeight="1" x14ac:dyDescent="0.25">
      <c r="B959" s="39"/>
      <c r="C959" s="40"/>
      <c r="D959" s="40"/>
      <c r="E959" s="6"/>
      <c r="F959" s="6"/>
      <c r="G959" s="6"/>
      <c r="H959" s="40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2:24" ht="15.75" customHeight="1" x14ac:dyDescent="0.25">
      <c r="B960" s="39"/>
      <c r="C960" s="40"/>
      <c r="D960" s="40"/>
      <c r="E960" s="6"/>
      <c r="F960" s="6"/>
      <c r="G960" s="6"/>
      <c r="H960" s="40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2:24" ht="15.75" customHeight="1" x14ac:dyDescent="0.25">
      <c r="B961" s="39"/>
      <c r="C961" s="40"/>
      <c r="D961" s="40"/>
      <c r="E961" s="6"/>
      <c r="F961" s="6"/>
      <c r="G961" s="6"/>
      <c r="H961" s="40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2:24" ht="15.75" customHeight="1" x14ac:dyDescent="0.25">
      <c r="B962" s="39"/>
      <c r="C962" s="40"/>
      <c r="D962" s="40"/>
      <c r="E962" s="6"/>
      <c r="F962" s="6"/>
      <c r="G962" s="6"/>
      <c r="H962" s="40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2:24" ht="15.75" customHeight="1" x14ac:dyDescent="0.25">
      <c r="B963" s="39"/>
      <c r="C963" s="40"/>
      <c r="D963" s="40"/>
      <c r="E963" s="6"/>
      <c r="F963" s="6"/>
      <c r="G963" s="6"/>
      <c r="H963" s="40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2:24" ht="15.75" customHeight="1" x14ac:dyDescent="0.25">
      <c r="B964" s="39"/>
      <c r="C964" s="40"/>
      <c r="D964" s="40"/>
      <c r="E964" s="6"/>
      <c r="F964" s="6"/>
      <c r="G964" s="6"/>
      <c r="H964" s="40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2:24" ht="15.75" customHeight="1" x14ac:dyDescent="0.25">
      <c r="B965" s="39"/>
      <c r="C965" s="40"/>
      <c r="D965" s="40"/>
      <c r="E965" s="6"/>
      <c r="F965" s="6"/>
      <c r="G965" s="6"/>
      <c r="H965" s="40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2:24" ht="15.75" customHeight="1" x14ac:dyDescent="0.25">
      <c r="B966" s="39"/>
      <c r="C966" s="40"/>
      <c r="D966" s="40"/>
      <c r="E966" s="6"/>
      <c r="F966" s="6"/>
      <c r="G966" s="6"/>
      <c r="H966" s="40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2:24" ht="15.75" customHeight="1" x14ac:dyDescent="0.25">
      <c r="B967" s="39"/>
      <c r="C967" s="40"/>
      <c r="D967" s="40"/>
      <c r="E967" s="6"/>
      <c r="F967" s="6"/>
      <c r="G967" s="6"/>
      <c r="H967" s="40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2:24" ht="15.75" customHeight="1" x14ac:dyDescent="0.25">
      <c r="B968" s="39"/>
      <c r="C968" s="40"/>
      <c r="D968" s="40"/>
      <c r="E968" s="6"/>
      <c r="F968" s="6"/>
      <c r="G968" s="6"/>
      <c r="H968" s="40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2:24" ht="15.75" customHeight="1" x14ac:dyDescent="0.25">
      <c r="B969" s="39"/>
      <c r="C969" s="40"/>
      <c r="D969" s="40"/>
      <c r="E969" s="6"/>
      <c r="F969" s="6"/>
      <c r="G969" s="6"/>
      <c r="H969" s="40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2:24" ht="15.75" customHeight="1" x14ac:dyDescent="0.25">
      <c r="B970" s="39"/>
      <c r="C970" s="40"/>
      <c r="D970" s="40"/>
      <c r="E970" s="6"/>
      <c r="F970" s="6"/>
      <c r="G970" s="6"/>
      <c r="H970" s="40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2:24" ht="15.75" customHeight="1" x14ac:dyDescent="0.25">
      <c r="B971" s="39"/>
      <c r="C971" s="40"/>
      <c r="D971" s="40"/>
      <c r="E971" s="6"/>
      <c r="F971" s="6"/>
      <c r="G971" s="6"/>
      <c r="H971" s="40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2:24" ht="15.75" customHeight="1" x14ac:dyDescent="0.25">
      <c r="B972" s="39"/>
      <c r="C972" s="40"/>
      <c r="D972" s="40"/>
      <c r="E972" s="6"/>
      <c r="F972" s="6"/>
      <c r="G972" s="6"/>
      <c r="H972" s="40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2:24" ht="15.75" customHeight="1" x14ac:dyDescent="0.25">
      <c r="B973" s="39"/>
      <c r="C973" s="40"/>
      <c r="D973" s="40"/>
      <c r="E973" s="6"/>
      <c r="F973" s="6"/>
      <c r="G973" s="6"/>
      <c r="H973" s="40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2:24" ht="15.75" customHeight="1" x14ac:dyDescent="0.25">
      <c r="B974" s="39"/>
      <c r="C974" s="40"/>
      <c r="D974" s="40"/>
      <c r="E974" s="6"/>
      <c r="F974" s="6"/>
      <c r="G974" s="6"/>
      <c r="H974" s="40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2:24" ht="15.75" customHeight="1" x14ac:dyDescent="0.25">
      <c r="B975" s="39"/>
      <c r="C975" s="40"/>
      <c r="D975" s="40"/>
      <c r="E975" s="6"/>
      <c r="F975" s="6"/>
      <c r="G975" s="6"/>
      <c r="H975" s="40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2:24" ht="15.75" customHeight="1" x14ac:dyDescent="0.25">
      <c r="B976" s="39"/>
      <c r="C976" s="40"/>
      <c r="D976" s="40"/>
      <c r="E976" s="6"/>
      <c r="F976" s="6"/>
      <c r="G976" s="6"/>
      <c r="H976" s="40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2:24" ht="15.75" customHeight="1" x14ac:dyDescent="0.25">
      <c r="B977" s="39"/>
      <c r="C977" s="40"/>
      <c r="D977" s="40"/>
      <c r="E977" s="6"/>
      <c r="F977" s="6"/>
      <c r="G977" s="6"/>
      <c r="H977" s="40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2:24" ht="15.75" customHeight="1" x14ac:dyDescent="0.25">
      <c r="B978" s="39"/>
      <c r="C978" s="40"/>
      <c r="D978" s="40"/>
      <c r="E978" s="6"/>
      <c r="F978" s="6"/>
      <c r="G978" s="6"/>
      <c r="H978" s="40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2:24" ht="15.75" customHeight="1" x14ac:dyDescent="0.25">
      <c r="B979" s="39"/>
      <c r="C979" s="40"/>
      <c r="D979" s="40"/>
      <c r="E979" s="6"/>
      <c r="F979" s="6"/>
      <c r="G979" s="6"/>
      <c r="H979" s="40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2:24" ht="15.75" customHeight="1" x14ac:dyDescent="0.25">
      <c r="B980" s="39"/>
      <c r="C980" s="40"/>
      <c r="D980" s="40"/>
      <c r="E980" s="6"/>
      <c r="F980" s="6"/>
      <c r="G980" s="6"/>
      <c r="H980" s="40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2:24" ht="15.75" customHeight="1" x14ac:dyDescent="0.25">
      <c r="B981" s="39"/>
      <c r="C981" s="40"/>
      <c r="D981" s="40"/>
      <c r="E981" s="6"/>
      <c r="F981" s="6"/>
      <c r="G981" s="6"/>
      <c r="H981" s="40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2:24" ht="15.75" customHeight="1" x14ac:dyDescent="0.25">
      <c r="B982" s="39"/>
      <c r="C982" s="40"/>
      <c r="D982" s="40"/>
      <c r="E982" s="6"/>
      <c r="F982" s="6"/>
      <c r="G982" s="6"/>
      <c r="H982" s="40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2:24" ht="15.75" customHeight="1" x14ac:dyDescent="0.25">
      <c r="B983" s="39"/>
      <c r="C983" s="40"/>
      <c r="D983" s="40"/>
      <c r="E983" s="6"/>
      <c r="F983" s="6"/>
      <c r="G983" s="6"/>
      <c r="H983" s="40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2:24" ht="15.75" customHeight="1" x14ac:dyDescent="0.25">
      <c r="B984" s="39"/>
      <c r="C984" s="40"/>
      <c r="D984" s="40"/>
      <c r="E984" s="6"/>
      <c r="F984" s="6"/>
      <c r="G984" s="6"/>
      <c r="H984" s="40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2:24" ht="15.75" customHeight="1" x14ac:dyDescent="0.25">
      <c r="B985" s="39"/>
      <c r="C985" s="40"/>
      <c r="D985" s="40"/>
      <c r="E985" s="6"/>
      <c r="F985" s="6"/>
      <c r="G985" s="6"/>
      <c r="H985" s="40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2:24" ht="15.75" customHeight="1" x14ac:dyDescent="0.25">
      <c r="B986" s="39"/>
      <c r="C986" s="40"/>
      <c r="D986" s="40"/>
      <c r="E986" s="6"/>
      <c r="F986" s="6"/>
      <c r="G986" s="6"/>
      <c r="H986" s="40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2:24" ht="15.75" customHeight="1" x14ac:dyDescent="0.25">
      <c r="B987" s="39"/>
      <c r="C987" s="40"/>
      <c r="D987" s="40"/>
      <c r="E987" s="6"/>
      <c r="F987" s="6"/>
      <c r="G987" s="6"/>
      <c r="H987" s="40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2:24" ht="15.75" customHeight="1" x14ac:dyDescent="0.25">
      <c r="B988" s="39"/>
      <c r="C988" s="40"/>
      <c r="D988" s="40"/>
      <c r="E988" s="6"/>
      <c r="F988" s="6"/>
      <c r="G988" s="6"/>
      <c r="H988" s="40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2:24" ht="15.75" customHeight="1" x14ac:dyDescent="0.25">
      <c r="B989" s="39"/>
      <c r="C989" s="40"/>
      <c r="D989" s="40"/>
      <c r="E989" s="6"/>
      <c r="F989" s="6"/>
      <c r="G989" s="6"/>
      <c r="H989" s="40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2:24" ht="15.75" customHeight="1" x14ac:dyDescent="0.25">
      <c r="B990" s="39"/>
      <c r="C990" s="40"/>
      <c r="D990" s="40"/>
      <c r="E990" s="6"/>
      <c r="F990" s="6"/>
      <c r="G990" s="6"/>
      <c r="H990" s="40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2:24" ht="15.75" customHeight="1" x14ac:dyDescent="0.25">
      <c r="B991" s="39"/>
      <c r="C991" s="40"/>
      <c r="D991" s="40"/>
      <c r="E991" s="6"/>
      <c r="F991" s="6"/>
      <c r="G991" s="6"/>
      <c r="H991" s="40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2:24" ht="15.75" customHeight="1" x14ac:dyDescent="0.25">
      <c r="B992" s="39"/>
      <c r="C992" s="40"/>
      <c r="D992" s="40"/>
      <c r="E992" s="6"/>
      <c r="F992" s="6"/>
      <c r="G992" s="6"/>
      <c r="H992" s="40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</sheetData>
  <mergeCells count="21">
    <mergeCell ref="A51:A52"/>
    <mergeCell ref="A12:A14"/>
    <mergeCell ref="A15:A18"/>
    <mergeCell ref="A19:A22"/>
    <mergeCell ref="A23:A27"/>
    <mergeCell ref="A28:A34"/>
    <mergeCell ref="A35:A50"/>
    <mergeCell ref="A7:J7"/>
    <mergeCell ref="A8:A10"/>
    <mergeCell ref="B8:B10"/>
    <mergeCell ref="C8:J8"/>
    <mergeCell ref="C9:D9"/>
    <mergeCell ref="E9:F9"/>
    <mergeCell ref="G9:H9"/>
    <mergeCell ref="I9:J9"/>
    <mergeCell ref="B1:J1"/>
    <mergeCell ref="E2:J2"/>
    <mergeCell ref="A3:J3"/>
    <mergeCell ref="A4:J4"/>
    <mergeCell ref="A5:J5"/>
    <mergeCell ref="A6:J6"/>
  </mergeCells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Вартість підготовки аспірантів</vt:lpstr>
      <vt:lpstr>'Вартість підготовки аспірантів'!Область_друку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KPI_PFV</dc:creator>
  <cp:lastModifiedBy>KPI_PFV</cp:lastModifiedBy>
  <dcterms:created xsi:type="dcterms:W3CDTF">2026-05-21T11:40:48Z</dcterms:created>
  <dcterms:modified xsi:type="dcterms:W3CDTF">2026-05-21T11:41:07Z</dcterms:modified>
</cp:coreProperties>
</file>